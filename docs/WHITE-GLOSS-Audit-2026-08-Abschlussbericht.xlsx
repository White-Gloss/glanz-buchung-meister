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kblatt" sheetId="1" state="visible" r:id="rId1"/>
    <sheet name="Auditmatrix" sheetId="2" state="visible" r:id="rId2"/>
    <sheet name="Qualitaetstore" sheetId="3" state="visible" r:id="rId3"/>
    <sheet name="Offene_Punkte" sheetId="4" state="visible" r:id="rId4"/>
    <sheet name="Risiken" sheetId="5" state="visible" r:id="rId5"/>
    <sheet name="Kontrast" sheetId="6" state="visible" r:id="rId6"/>
    <sheet name="Dateien" sheetId="7" state="visible" r:id="rId7"/>
  </sheets>
  <definedNames>
    <definedName name="_xlnm._FilterDatabase" localSheetId="1" hidden="1">'Auditmatrix'!$A$5:$I$40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B7280"/>
      <sz val="9"/>
    </font>
    <font>
      <name val="Arial"/>
      <b val="1"/>
      <color rgb="006B7280"/>
      <sz val="10"/>
    </font>
    <font>
      <name val="Arial"/>
      <color rgb="000C0C0D"/>
      <sz val="10"/>
    </font>
    <font>
      <name val="Arial"/>
      <b val="1"/>
      <color rgb="00FFFFFF"/>
      <sz val="10"/>
    </font>
    <font>
      <name val="Arial"/>
      <b val="1"/>
      <color rgb="001F7A4D"/>
      <sz val="9"/>
    </font>
    <font>
      <name val="Arial"/>
      <b val="1"/>
      <color rgb="009B2C2C"/>
      <sz val="9"/>
    </font>
    <font>
      <name val="Arial"/>
      <b val="1"/>
      <color rgb="009A5B00"/>
      <sz val="9"/>
    </font>
    <font>
      <name val="Arial"/>
      <b val="1"/>
      <color rgb="008A6D00"/>
      <sz val="8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0C0C0D"/>
      </patternFill>
    </fill>
    <fill>
      <patternFill patternType="solid">
        <fgColor rgb="001C1C20"/>
      </patternFill>
    </fill>
    <fill>
      <patternFill patternType="solid">
        <fgColor rgb="00FFF59D"/>
      </patternFill>
    </fill>
    <fill>
      <patternFill patternType="solid">
        <fgColor rgb="00D9F2E4"/>
      </patternFill>
    </fill>
    <fill>
      <patternFill patternType="solid">
        <fgColor rgb="00F8D7DA"/>
      </patternFill>
    </fill>
    <fill>
      <patternFill patternType="solid">
        <fgColor rgb="00FCE8C3"/>
      </patternFill>
    </fill>
    <fill>
      <patternFill patternType="solid">
        <fgColor rgb="00FFF3CD"/>
      </patternFill>
    </fill>
    <fill>
      <patternFill patternType="solid">
        <fgColor rgb="00F7F5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0" borderId="1" pivotButton="0" quotePrefix="0" xfId="0"/>
    <xf numFmtId="0" fontId="5" fillId="3" borderId="1" pivotButton="0" quotePrefix="0" xfId="0"/>
    <xf numFmtId="0" fontId="4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164" fontId="4" fillId="0" borderId="1" pivotButton="0" quotePrefix="0" xfId="0"/>
    <xf numFmtId="0" fontId="4" fillId="5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vertical="top" wrapText="1"/>
    </xf>
    <xf numFmtId="0" fontId="1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4" fillId="0" borderId="1" pivotButton="0" quotePrefix="0" xfId="0"/>
    <xf numFmtId="2" fontId="4" fillId="0" borderId="1" pivotButton="0" quotePrefix="0" xfId="0"/>
    <xf numFmtId="164" fontId="0" fillId="0" borderId="0" pivotButton="0" quotePrefix="0" xfId="0"/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9F2E4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</a:t>
            </a:r>
          </a:p>
        </rich>
      </tx>
    </title>
    <plotArea>
      <pieChart>
        <varyColors val="1"/>
        <ser>
          <idx val="0"/>
          <order val="0"/>
          <tx>
            <strRef>
              <f>'Deckblatt'!F20</f>
            </strRef>
          </tx>
          <spPr>
            <a:ln>
              <a:prstDash val="solid"/>
            </a:ln>
          </spPr>
          <cat>
            <numRef>
              <f>'Deckblatt'!$E$21:$E$24</f>
            </numRef>
          </cat>
          <val>
            <numRef>
              <f>'Deckblatt'!$F$21:$F$24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C0C0D"/>
    <outlinePr summaryBelow="1" summaryRight="1"/>
    <pageSetUpPr fitToPage="1"/>
  </sheetPr>
  <dimension ref="A1:F3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2" customHeight="1">
      <c r="A1" s="1" t="inlineStr">
        <is>
          <t>WHITE GLOSS DETAILING  ·  Produktion-Audit Abschlussbericht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36" customHeight="1">
      <c r="A3" s="3" t="inlineStr">
        <is>
          <t>Technischer Audit von white-gloss.de und White-Gloss/glanz-buchung-meister. Keine anwaltliche Freigabe. Keine erfundenen Register- oder Steuerangaben. Status nur PASS / FAIL / BLOCKED / MANUAL CHECK REQUIRED.</t>
        </is>
      </c>
    </row>
    <row r="5">
      <c r="A5" s="4" t="inlineStr">
        <is>
          <t>Projekt</t>
        </is>
      </c>
      <c r="B5" s="5" t="inlineStr">
        <is>
          <t>WHITE GLOSS DETAILING</t>
        </is>
      </c>
    </row>
    <row r="6">
      <c r="A6" s="4" t="inlineStr">
        <is>
          <t>Repository</t>
        </is>
      </c>
      <c r="B6" s="5" t="inlineStr">
        <is>
          <t>White-Gloss/glanz-buchung-meister</t>
        </is>
      </c>
    </row>
    <row r="7">
      <c r="A7" s="4" t="inlineStr">
        <is>
          <t>Live-Domain</t>
        </is>
      </c>
      <c r="B7" s="5" t="inlineStr">
        <is>
          <t>https://white-gloss.de</t>
        </is>
      </c>
    </row>
    <row r="8">
      <c r="A8" s="4" t="inlineStr">
        <is>
          <t>Vorgänger-PR</t>
        </is>
      </c>
      <c r="B8" s="5" t="inlineStr">
        <is>
          <t>https://github.com/White-Gloss/glanz-buchung-meister/pull/99 (merged) + main bfb3aab</t>
        </is>
      </c>
    </row>
    <row r="9">
      <c r="A9" s="4" t="inlineStr">
        <is>
          <t>Dieser Stand</t>
        </is>
      </c>
      <c r="B9" s="5" t="inlineStr">
        <is>
          <t>Branch fix/admin-operator-allowlist — Allowlist, Same-Site, Bericht</t>
        </is>
      </c>
    </row>
    <row r="11">
      <c r="A11" s="6" t="inlineStr">
        <is>
          <t>EINGABEN (gelb = nach Deploy dieses Nachzugs aktualisieren)</t>
        </is>
      </c>
      <c r="B11" s="7" t="n"/>
      <c r="C11" s="7" t="n"/>
      <c r="D11" s="7" t="n"/>
    </row>
    <row r="12">
      <c r="A12" s="4" t="inlineStr">
        <is>
          <t>Auditdatum</t>
        </is>
      </c>
      <c r="B12" s="8" t="inlineStr">
        <is>
          <t>2026-08-31</t>
        </is>
      </c>
    </row>
    <row r="13">
      <c r="A13" s="4" t="inlineStr">
        <is>
          <t>Main-SHA vor diesem PR</t>
        </is>
      </c>
      <c r="B13" s="8" t="inlineStr">
        <is>
          <t>bfb3aab8b514b609cac057281ac6053f1c697e5c</t>
        </is>
      </c>
    </row>
    <row r="14">
      <c r="A14" s="4" t="inlineStr">
        <is>
          <t>Live-SHA jetzt</t>
        </is>
      </c>
      <c r="B14" s="8" t="inlineStr">
        <is>
          <t>bfb3aab (Login-Text live: keine öffentliche Registrierung)</t>
        </is>
      </c>
    </row>
    <row r="15">
      <c r="A15" s="4" t="inlineStr">
        <is>
          <t>Code-Fix PR 99</t>
        </is>
      </c>
      <c r="B15" s="8" t="inlineStr">
        <is>
          <t>c3f24750e3503d4467b29269cbc39916f5223111</t>
        </is>
      </c>
    </row>
    <row r="16">
      <c r="A16" s="4" t="inlineStr">
        <is>
          <t>Dieser PR (Allowlist)</t>
        </is>
      </c>
      <c r="B16" s="8" t="inlineStr">
        <is>
          <t>Branch fix/admin-operator-allowlist — SHA im PR nach Push</t>
        </is>
      </c>
    </row>
    <row r="17">
      <c r="A17" s="4" t="inlineStr">
        <is>
          <t>Live = dieser PR?</t>
        </is>
      </c>
      <c r="B17" s="8" t="inlineStr">
        <is>
          <t>NEIN — Google/X-Konto ohne @white-gloss.de hat auf Live noch volles Panel</t>
        </is>
      </c>
    </row>
    <row r="19">
      <c r="A19" s="6" t="inlineStr">
        <is>
          <t>KENNZAHLEN AUS DER AUDITMATRIX (Formeln)</t>
        </is>
      </c>
      <c r="B19" s="7" t="n"/>
      <c r="C19" s="7" t="n"/>
      <c r="D19" s="7" t="n"/>
      <c r="E19" s="7" t="n"/>
      <c r="F19" s="7" t="n"/>
    </row>
    <row r="20">
      <c r="A20" s="9" t="n"/>
      <c r="B20" s="9" t="n"/>
      <c r="C20" s="9" t="n"/>
      <c r="D20" s="9" t="n"/>
      <c r="E20" s="10" t="inlineStr">
        <is>
          <t>Status</t>
        </is>
      </c>
      <c r="F20" s="10" t="inlineStr">
        <is>
          <t>Anzahl</t>
        </is>
      </c>
    </row>
    <row r="21">
      <c r="A21" s="11" t="inlineStr">
        <is>
          <t>Punkte gesamt</t>
        </is>
      </c>
      <c r="B21" s="11">
        <f>COUNTA(Auditmatrix!A6:A50)-COUNTIF(Auditmatrix!A6:A50,"")</f>
        <v/>
      </c>
      <c r="C21" s="11" t="n"/>
      <c r="D21" s="11" t="n"/>
      <c r="E21" s="11" t="inlineStr">
        <is>
          <t>PASS</t>
        </is>
      </c>
      <c r="F21" s="12">
        <f>COUNTIF(Auditmatrix!H6:H50,"PASS")</f>
        <v/>
      </c>
    </row>
    <row r="22">
      <c r="A22" s="11" t="inlineStr">
        <is>
          <t>PASS</t>
        </is>
      </c>
      <c r="B22" s="11">
        <f>F21</f>
        <v/>
      </c>
      <c r="C22" s="11" t="n"/>
      <c r="D22" s="11" t="n"/>
      <c r="E22" s="11" t="inlineStr">
        <is>
          <t>FAIL</t>
        </is>
      </c>
      <c r="F22" s="13">
        <f>COUNTIF(Auditmatrix!H6:H50,"FAIL")</f>
        <v/>
      </c>
    </row>
    <row r="23">
      <c r="A23" s="11" t="inlineStr">
        <is>
          <t>FAIL</t>
        </is>
      </c>
      <c r="B23" s="11">
        <f>F22</f>
        <v/>
      </c>
      <c r="C23" s="11" t="n"/>
      <c r="D23" s="11" t="n"/>
      <c r="E23" s="11" t="inlineStr">
        <is>
          <t>BLOCKED</t>
        </is>
      </c>
      <c r="F23" s="14">
        <f>COUNTIF(Auditmatrix!H6:H50,"BLOCKED")</f>
        <v/>
      </c>
    </row>
    <row r="24">
      <c r="A24" s="11" t="inlineStr">
        <is>
          <t>BLOCKED</t>
        </is>
      </c>
      <c r="B24" s="11">
        <f>F23</f>
        <v/>
      </c>
      <c r="C24" s="11" t="n"/>
      <c r="D24" s="11" t="n"/>
      <c r="E24" s="11" t="inlineStr">
        <is>
          <t>MANUAL CHECK REQUIRED</t>
        </is>
      </c>
      <c r="F24" s="15">
        <f>COUNTIF(Auditmatrix!H6:H50,"MANUAL CHECK REQUIRED")</f>
        <v/>
      </c>
    </row>
    <row r="25">
      <c r="A25" s="11" t="inlineStr">
        <is>
          <t>MANUAL CHECK REQUIRED</t>
        </is>
      </c>
      <c r="B25" s="11">
        <f>F24</f>
        <v/>
      </c>
      <c r="C25" s="11" t="n"/>
      <c r="D25" s="11" t="n"/>
      <c r="E25" s="11" t="n"/>
      <c r="F25" s="11" t="n"/>
    </row>
    <row r="26">
      <c r="A26" s="11" t="inlineStr">
        <is>
          <t>Anteil PASS</t>
        </is>
      </c>
      <c r="B26" s="16">
        <f>IF(B21=0,0,B22/B21)</f>
        <v/>
      </c>
      <c r="C26" s="11" t="n"/>
      <c r="D26" s="11" t="n"/>
      <c r="E26" s="11" t="n"/>
      <c r="F26" s="11" t="n"/>
    </row>
    <row r="27">
      <c r="A27" s="11" t="inlineStr">
        <is>
          <t>Offen (FAIL+BLOCKED+MANUAL)</t>
        </is>
      </c>
      <c r="B27" s="11">
        <f>B23+B24+B25</f>
        <v/>
      </c>
      <c r="C27" s="11" t="n"/>
      <c r="D27" s="11" t="n"/>
      <c r="E27" s="11" t="n"/>
      <c r="F27" s="11" t="n"/>
    </row>
    <row r="28">
      <c r="A28" s="11" t="inlineStr">
        <is>
          <t>Live entspricht diesem PR?</t>
        </is>
      </c>
      <c r="B28" s="11" t="inlineStr">
        <is>
          <t>NEIN</t>
        </is>
      </c>
      <c r="C28" s="11" t="n"/>
      <c r="D28" s="11" t="n"/>
      <c r="E28" s="11" t="n"/>
      <c r="F28" s="11" t="n"/>
    </row>
    <row r="30">
      <c r="A30" s="6" t="inlineStr">
        <is>
          <t>Lokal nachgewiesene Qualitätstore</t>
        </is>
      </c>
      <c r="B30" s="7" t="n"/>
      <c r="C30" s="7" t="n"/>
      <c r="D30" s="7" t="n"/>
    </row>
    <row r="31">
      <c r="A31" s="4" t="inlineStr">
        <is>
          <t>npm test</t>
        </is>
      </c>
      <c r="B31" s="17" t="inlineStr">
        <is>
          <t>PASS 33/33 (pickup, ops, contrast, rate-limit, gate-identity, operator)</t>
        </is>
      </c>
    </row>
    <row r="32">
      <c r="A32" s="4" t="inlineStr">
        <is>
          <t>npm run typecheck</t>
        </is>
      </c>
      <c r="B32" s="17" t="inlineStr">
        <is>
          <t>PASS</t>
        </is>
      </c>
    </row>
    <row r="33">
      <c r="A33" s="4" t="inlineStr">
        <is>
          <t>npm run lint</t>
        </is>
      </c>
      <c r="B33" s="17" t="inlineStr">
        <is>
          <t>PASS (0 errors, 4 vorbestehende warnings)</t>
        </is>
      </c>
    </row>
    <row r="34">
      <c r="A34" s="4" t="inlineStr">
        <is>
          <t>npm run build</t>
        </is>
      </c>
      <c r="B34" s="17" t="inlineStr">
        <is>
          <t>PASS</t>
        </is>
      </c>
    </row>
    <row r="35">
      <c r="A35" s="4" t="inlineStr">
        <is>
          <t>Browser Skip-Link / Maps 2-Klick / Login ohne Signup / Formular HTML5</t>
        </is>
      </c>
      <c r="B35" s="17" t="inlineStr">
        <is>
          <t>PASS</t>
        </is>
      </c>
    </row>
    <row r="36">
      <c r="A36" s="4" t="inlineStr">
        <is>
          <t>smoke:production gegen Live</t>
        </is>
      </c>
      <c r="B36" s="5" t="inlineStr">
        <is>
          <t>Signup-UI live PASS (bfb3aab). Allowlist noch nicht live.</t>
        </is>
      </c>
    </row>
    <row r="38" ht="36" customHeight="1">
      <c r="A38" s="3" t="inlineStr">
        <is>
          <t>PR 99 und main bfb3aab liegen auf IONOS: ODR weg, 10 km kostenlos, kein wg-cookie, Maps nach Klick, Queue=queued, Login ohne Registrieren, kein Auto-WhatsApp an Kunden. Dieser PR schließt das verbleibende P0: jedes Google/X-Konto hätte sonst volles Panel.</t>
        </is>
      </c>
    </row>
    <row r="39"/>
  </sheetData>
  <mergeCells count="20">
    <mergeCell ref="B14:D14"/>
    <mergeCell ref="B8:D8"/>
    <mergeCell ref="B17:D17"/>
    <mergeCell ref="B13:D13"/>
    <mergeCell ref="A38:F39"/>
    <mergeCell ref="A3:F3"/>
    <mergeCell ref="B34:D34"/>
    <mergeCell ref="A1:F2"/>
    <mergeCell ref="B9:D9"/>
    <mergeCell ref="B15:D15"/>
    <mergeCell ref="B6:D6"/>
    <mergeCell ref="B33:D33"/>
    <mergeCell ref="B5:D5"/>
    <mergeCell ref="B36:D36"/>
    <mergeCell ref="B32:D32"/>
    <mergeCell ref="B35:D35"/>
    <mergeCell ref="B7:D7"/>
    <mergeCell ref="B16:D16"/>
    <mergeCell ref="B31:D31"/>
    <mergeCell ref="B12:D12"/>
  </mergeCells>
  <pageMargins left="0.75" right="0.75" top="1" bottom="1" header="0.5" footer="0.5"/>
  <pageSetup orientation="landscape" fitToHeight="1" fitToWidth="1"/>
  <headerFooter>
    <oddHeader/>
    <oddFooter>&amp;LWHITE GLOSS Produktion-Audit 31.08.2026 — keine Rechtsberatung&amp;RSeite &amp;P /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97868"/>
    <outlinePr summaryBelow="1" summaryRight="1"/>
    <pageSetUpPr fitToPage="1"/>
  </sheetPr>
  <dimension ref="A1:I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28" customWidth="1" min="4" max="4"/>
    <col width="42" customWidth="1" min="5" max="5"/>
    <col width="28" customWidth="1" min="6" max="6"/>
    <col width="36" customWidth="1" min="7" max="7"/>
    <col width="24" customWidth="1" min="8" max="8"/>
    <col width="36" customWidth="1" min="9" max="9"/>
  </cols>
  <sheetData>
    <row r="1">
      <c r="A1" s="1" t="inlineStr">
        <is>
          <t>Auditmatrix  ·  jeder Punkt mit nachgewiesenem Status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32" customHeight="1">
      <c r="A3" s="3" t="inlineStr">
        <is>
          <t>Spalte H nur die vier Statuswerte. Deckblatt zählt per COUNTIF. PR 99 (c3f2475) und bfb3aab sind live. Dieser PR (operatorMiddleware, Same-Site, Bericht) ist lokal, live noch ohne Allowlist.</t>
        </is>
      </c>
    </row>
    <row r="5">
      <c r="A5" s="18" t="inlineStr">
        <is>
          <t>Nr</t>
        </is>
      </c>
      <c r="B5" s="18" t="inlineStr">
        <is>
          <t>Bereich</t>
        </is>
      </c>
      <c r="C5" s="18" t="inlineStr">
        <is>
          <t>Fehler</t>
        </is>
      </c>
      <c r="D5" s="18" t="inlineStr">
        <is>
          <t>Ursache</t>
        </is>
      </c>
      <c r="E5" s="18" t="inlineStr">
        <is>
          <t>Lösung</t>
        </is>
      </c>
      <c r="F5" s="18" t="inlineStr">
        <is>
          <t>Dateien</t>
        </is>
      </c>
      <c r="G5" s="18" t="inlineStr">
        <is>
          <t>Test</t>
        </is>
      </c>
      <c r="H5" s="18" t="inlineStr">
        <is>
          <t>Ergebnis</t>
        </is>
      </c>
      <c r="I5" s="18" t="inlineStr">
        <is>
          <t>Bemerkung</t>
        </is>
      </c>
    </row>
    <row r="6" ht="48" customHeight="1">
      <c r="A6" s="19" t="n">
        <v>1</v>
      </c>
      <c r="B6" s="19" t="inlineStr">
        <is>
          <t>Impressum / ODR</t>
        </is>
      </c>
      <c r="C6" s="20" t="inlineStr">
        <is>
          <t>Toter EU-OS-/ODR-Link</t>
        </is>
      </c>
      <c r="D6" s="20" t="inlineStr">
        <is>
          <t>Plattform seit 20.07.2025 eingestellt</t>
        </is>
      </c>
      <c r="E6" s="20" t="inlineStr">
        <is>
          <t>Link weg. VSBG-Satz belassen. OS-Plattform nicht mehr betrieben. Keine USt-IdNr. erfunden.</t>
        </is>
      </c>
      <c r="F6" s="20" t="inlineStr">
        <is>
          <t>impressum.tsx; smoke-production.mjs</t>
        </is>
      </c>
      <c r="G6" s="20" t="inlineStr">
        <is>
          <t>Live 31.08.2026: kein ec.europa.eu/consumers/odr; VSBG-Satz da; Stand 31.08.2026</t>
        </is>
      </c>
      <c r="H6" s="12" t="inlineStr">
        <is>
          <t>PASS</t>
        </is>
      </c>
      <c r="I6" s="20" t="inlineStr">
        <is>
          <t>Anwalt VSBG/BFSG und USt-IdNr. bleiben MANUAL.</t>
        </is>
      </c>
    </row>
    <row r="7" ht="48" customHeight="1">
      <c r="A7" s="21" t="n">
        <v>2</v>
      </c>
      <c r="B7" s="21" t="inlineStr">
        <is>
          <t>Abholpreise</t>
        </is>
      </c>
      <c r="C7" s="22" t="inlineStr">
        <is>
          <t>Mehrere hartcodierte Staffeln; Live hatte 20 € bis 10 km</t>
        </is>
      </c>
      <c r="D7" s="22" t="inlineStr">
        <is>
          <t>Texte drifteten von der Logik</t>
        </is>
      </c>
      <c r="E7" s="22" t="inlineStr">
        <is>
          <t>pickupPricing einzige Tabelle. 10 km = 0. Helper pickupFee/PriceText/TierSummary. Server quoteTotal.</t>
        </is>
      </c>
      <c r="F7" s="22" t="inlineStr">
        <is>
          <t>site.ts; pickup.test.ts; configurator.tsx</t>
        </is>
      </c>
      <c r="G7" s="22" t="inlineStr">
        <is>
          <t>npm test pickup 6/6; Live /preise: bis 10 km kostenlos, 20 km 50 €, 50 km 70 €</t>
        </is>
      </c>
      <c r="H7" s="12" t="inlineStr">
        <is>
          <t>PASS</t>
        </is>
      </c>
      <c r="I7" s="22" t="inlineStr">
        <is>
          <t>City-Blurbs mit Prosa-Beträgen; Test bricht bei Drift. Alte 20-€-Staffel verboten.</t>
        </is>
      </c>
    </row>
    <row r="8" ht="48" customHeight="1">
      <c r="A8" s="19" t="n">
        <v>3</v>
      </c>
      <c r="B8" s="19" t="inlineStr">
        <is>
          <t>Fotoanfrage</t>
        </is>
      </c>
      <c r="C8" s="20" t="inlineStr">
        <is>
          <t>Text: Dateien im Betrieb; Code: nur Namen</t>
        </is>
      </c>
      <c r="D8" s="20" t="inlineStr">
        <is>
          <t>Kein Upload-Backend</t>
        </is>
      </c>
      <c r="E8" s="20" t="inlineStr">
        <is>
          <t>Variante A: ehrliche Copy. Inbox enthält Name+Telefon+Dateinamen. Kein produktiver Upload.</t>
        </is>
      </c>
      <c r="F8" s="20" t="inlineStr">
        <is>
          <t>photo-inquiry.tsx; bookings.functions.ts; datenschutz.tsx</t>
        </is>
      </c>
      <c r="G8" s="20" t="inlineStr">
        <is>
          <t>Live /dellen: nicht hochgeladen + Dateinamen; kein Alt-Satz</t>
        </is>
      </c>
      <c r="H8" s="12" t="inlineStr">
        <is>
          <t>PASS</t>
        </is>
      </c>
      <c r="I8" s="20" t="inlineStr">
        <is>
          <t>File-Picker bleibt UX-Hinweis, kein Upload.</t>
        </is>
      </c>
    </row>
    <row r="9" ht="48" customHeight="1">
      <c r="A9" s="21" t="n">
        <v>4</v>
      </c>
      <c r="B9" s="21" t="inlineStr">
        <is>
          <t>Datenschutz</t>
        </is>
      </c>
      <c r="C9" s="22" t="inlineStr">
        <is>
          <t>Behauptungen ≠ Code</t>
        </is>
      </c>
      <c r="D9" s="22" t="inlineStr">
        <is>
          <t>Texte vorgezogen; Kunden-WA noch gequeued</t>
        </is>
      </c>
      <c r="E9" s="22" t="inlineStr">
        <is>
          <t>Nur IONOS, kein Marketing-Cookie, Maps nach Klick, Foto=Namen. Kunden-WA aus Confirm-Queue entfernt. Instagram-Satz ergänzt.</t>
        </is>
      </c>
      <c r="F9" s="22" t="inlineStr">
        <is>
          <t>datenschutz.tsx; ops.ts</t>
        </is>
      </c>
      <c r="G9" s="22" t="inlineStr">
        <is>
          <t>Lokal: kein Auto-WA-Ziel mehr; Live-Text noch alter Stand bis Nachzug-Deploy</t>
        </is>
      </c>
      <c r="H9" s="12" t="inlineStr">
        <is>
          <t>PASS</t>
        </is>
      </c>
      <c r="I9" s="22" t="inlineStr">
        <is>
          <t>Code-PASS. Live-Datenschutz sagt schon „nicht aktiv“ — jetzt auch die Queue.</t>
        </is>
      </c>
    </row>
    <row r="10" ht="48" customHeight="1">
      <c r="A10" s="19" t="n">
        <v>5</v>
      </c>
      <c r="B10" s="19" t="inlineStr">
        <is>
          <t>Cookie / localStorage</t>
        </is>
      </c>
      <c r="C10" s="20" t="inlineStr">
        <is>
          <t>wg-cookie ohne Zweck</t>
        </is>
      </c>
      <c r="D10" s="20" t="inlineStr">
        <is>
          <t>Banner nur Kenntnisnahme</t>
        </is>
      </c>
      <c r="E10" s="20" t="inlineStr">
        <is>
          <t>CookieNotice und wg-cookie entfernt. Login-Session unangetastet.</t>
        </is>
      </c>
      <c r="F10" s="20" t="inlineStr">
        <is>
          <t>site-chrome.tsx; datenschutz.tsx</t>
        </is>
      </c>
      <c r="G10" s="20" t="inlineStr">
        <is>
          <t>Live und lokal: kein Banner, kein wg-cookie</t>
        </is>
      </c>
      <c r="H10" s="12" t="inlineStr">
        <is>
          <t>PASS</t>
        </is>
      </c>
      <c r="I10" s="20" t="inlineStr"/>
    </row>
    <row r="11" ht="48" customHeight="1">
      <c r="A11" s="21" t="n">
        <v>6</v>
      </c>
      <c r="B11" s="21" t="inlineStr">
        <is>
          <t>Maps 2-Klick</t>
        </is>
      </c>
      <c r="C11" s="22" t="inlineStr">
        <is>
          <t>Button unklar / Google vor Klick</t>
        </is>
      </c>
      <c r="D11" s="22" t="inlineStr">
        <is>
          <t>Iframe schon am Klick, Label knapp</t>
        </is>
      </c>
      <c r="E11" s="22" t="inlineStr">
        <is>
          <t>«Google Maps laden – dabei werden Daten an Google übertragen». Vorher 0 iframe.</t>
        </is>
      </c>
      <c r="F11" s="22" t="inlineStr">
        <is>
          <t>workshop-map.tsx; security-headers.ts</t>
        </is>
      </c>
      <c r="G11" s="22" t="inlineStr">
        <is>
          <t>Playwright/agent-browser: iframes=0, nach Klick Google-Embed. DNS-Prefetch off.</t>
        </is>
      </c>
      <c r="H11" s="12" t="inlineStr">
        <is>
          <t>PASS</t>
        </is>
      </c>
      <c r="I11" s="22" t="inlineStr">
        <is>
          <t>HAR nach Deploy manuell nur noch zur Bestätigung.</t>
        </is>
      </c>
    </row>
    <row r="12" ht="48" customHeight="1">
      <c r="A12" s="19" t="n">
        <v>7</v>
      </c>
      <c r="B12" s="19" t="inlineStr">
        <is>
          <t>Owner-Notify WhatsApp</t>
        </is>
      </c>
      <c r="C12" s="20" t="inlineStr">
        <is>
          <t>Ziel booking.phone</t>
        </is>
      </c>
      <c r="D12" s="20" t="inlineStr">
        <is>
          <t>Empfänger mit Kundenkanal vermischt</t>
        </is>
      </c>
      <c r="E12" s="20" t="inlineStr">
        <is>
          <t>OWNER_* bzw. Impressum. Filter booking.phone. Kunden-Confirm ohne WhatsApp-Queue.</t>
        </is>
      </c>
      <c r="F12" s="20" t="inlineStr">
        <is>
          <t>ops.ts; ops.test.ts</t>
        </is>
      </c>
      <c r="G12" s="20" t="inlineStr">
        <is>
          <t>Unit-Tests nie Kunden-Tel als Owner; Confirm ohne WA-Kanal</t>
        </is>
      </c>
      <c r="H12" s="12" t="inlineStr">
        <is>
          <t>PASS</t>
        </is>
      </c>
      <c r="I12" s="20" t="inlineStr">
        <is>
          <t>Kein produktiver WA-Adapter.</t>
        </is>
      </c>
    </row>
    <row r="13" ht="48" customHeight="1">
      <c r="A13" s="21" t="n">
        <v>8</v>
      </c>
      <c r="B13" s="21" t="inlineStr">
        <is>
          <t>outbound_queue Status</t>
        </is>
      </c>
      <c r="C13" s="22" t="inlineStr">
        <is>
          <t>status=sent ohne Versand</t>
        </is>
      </c>
      <c r="D13" s="22" t="inlineStr">
        <is>
          <t>queueChannel hardcodierte sent</t>
        </is>
      </c>
      <c r="E13" s="22" t="inlineStr">
        <is>
          <t>OUTBOUND_QUEUED=queued.</t>
        </is>
      </c>
      <c r="F13" s="22" t="inlineStr">
        <is>
          <t>ops.ts; bookings.functions.ts; admin.functions.ts</t>
        </is>
      </c>
      <c r="G13" s="22" t="inlineStr">
        <is>
          <t>Kein sent-Writer in src/</t>
        </is>
      </c>
      <c r="H13" s="12" t="inlineStr">
        <is>
          <t>PASS</t>
        </is>
      </c>
      <c r="I13" s="22" t="inlineStr"/>
    </row>
    <row r="14" ht="48" customHeight="1">
      <c r="A14" s="19" t="n">
        <v>9</v>
      </c>
      <c r="B14" s="19" t="inlineStr">
        <is>
          <t>E-Mail-Fallback</t>
        </is>
      </c>
      <c r="C14" s="20" t="inlineStr">
        <is>
          <t>email||phone im Mailkanal</t>
        </is>
      </c>
      <c r="D14" s="20" t="inlineStr">
        <is>
          <t>Keine Kanalvalidierung</t>
        </is>
      </c>
      <c r="E14" s="20" t="inlineStr">
        <is>
          <t>isEmailAddress. Ack/Erinnerung nur mit Mail. Telefon nie in E-Mail-Feld.</t>
        </is>
      </c>
      <c r="F14" s="20" t="inlineStr">
        <is>
          <t>utils.ts; ops.ts; bookings.functions.ts</t>
        </is>
      </c>
      <c r="G14" s="20" t="inlineStr">
        <is>
          <t>ops.test ohne Mail kein E-Mail-Ziel und kein WA-Ziel</t>
        </is>
      </c>
      <c r="H14" s="12" t="inlineStr">
        <is>
          <t>PASS</t>
        </is>
      </c>
      <c r="I14" s="20" t="inlineStr"/>
    </row>
    <row r="15" ht="48" customHeight="1">
      <c r="A15" s="21" t="n">
        <v>10</v>
      </c>
      <c r="B15" s="21" t="inlineStr">
        <is>
          <t>Spam-Schutz</t>
        </is>
      </c>
      <c r="C15" s="22" t="inlineStr">
        <is>
          <t>Nur Zod</t>
        </is>
      </c>
      <c r="D15" s="22" t="inlineStr">
        <is>
          <t>Keine Drossel/Honeypot/Origin</t>
        </is>
      </c>
      <c r="E15" s="22" t="inlineStr">
        <is>
          <t>IP-Limiter + Honeypot website + assertSameSiteRequest auf öffentlichen POSTs.</t>
        </is>
      </c>
      <c r="F15" s="22" t="inlineStr">
        <is>
          <t>rate-limit.ts; bookings.functions.ts; admin.functions.ts; isolation.server.ts</t>
        </is>
      </c>
      <c r="G15" s="22" t="inlineStr">
        <is>
          <t>rate-limit.test 2/2; Same-Site auf booking/photo/operator</t>
        </is>
      </c>
      <c r="H15" s="12" t="inlineStr">
        <is>
          <t>PASS</t>
        </is>
      </c>
      <c r="I15" s="22" t="inlineStr">
        <is>
          <t>In-Memory, ein VPS. Sec-Fetch-Site fehlt bei manchen Clients — dann durchgelassen.</t>
        </is>
      </c>
    </row>
    <row r="16" ht="48" customHeight="1">
      <c r="A16" s="19" t="n">
        <v>11</v>
      </c>
      <c r="B16" s="19" t="inlineStr">
        <is>
          <t>WCAG Kontrast</t>
        </is>
      </c>
      <c r="C16" s="20" t="inlineStr">
        <is>
          <t>#c45c4a unter 4,5:1</t>
        </is>
      </c>
      <c r="D16" s="20" t="inlineStr">
        <is>
          <t>Zu dunkel auf dark</t>
        </is>
      </c>
      <c r="E16" s="20" t="inlineStr">
        <is>
          <t>--color-danger #d97868. Token-Test für danger/muted/subtle auf bg/surface/elevated.</t>
        </is>
      </c>
      <c r="F16" s="20" t="inlineStr">
        <is>
          <t>styles.css; contrast.ts; contrast.test.ts</t>
        </is>
      </c>
      <c r="G16" s="20" t="inlineStr">
        <is>
          <t>contrast.test 2/2; Skip-Link Tab+Enter → #main-content</t>
        </is>
      </c>
      <c r="H16" s="12" t="inlineStr">
        <is>
          <t>PASS</t>
        </is>
      </c>
      <c r="I16" s="20" t="inlineStr">
        <is>
          <t>Login hat jetzt id=main-content.</t>
        </is>
      </c>
    </row>
    <row r="17" ht="48" customHeight="1">
      <c r="A17" s="21" t="n">
        <v>12</v>
      </c>
      <c r="B17" s="21" t="inlineStr">
        <is>
          <t>Lighthouse CI</t>
        </is>
      </c>
      <c r="C17" s="22" t="inlineStr">
        <is>
          <t>Nicht bei Frontend-Änderungen</t>
        </is>
      </c>
      <c r="D17" s="22" t="inlineStr">
        <is>
          <t>Nur main, kein Artefakt-Pin, server/** fehlte</t>
        </is>
      </c>
      <c r="E17" s="22" t="inlineStr">
        <is>
          <t>paths inkl. server/**; PR+main; upload-artifact pin; A11y 0,95 error.</t>
        </is>
      </c>
      <c r="F17" s="22" t="inlineStr">
        <is>
          <t>lighthouse-audit.yml; lighthouserc.*.cjs</t>
        </is>
      </c>
      <c r="G17" s="22" t="inlineStr">
        <is>
          <t>YAML-Review</t>
        </is>
      </c>
      <c r="H17" s="12" t="inlineStr">
        <is>
          <t>PASS</t>
        </is>
      </c>
      <c r="I17" s="22" t="inlineStr">
        <is>
          <t>CI trifft Live-URL, nicht PR-Preview. Median 3× nach Deploy MANUAL.</t>
        </is>
      </c>
    </row>
    <row r="18" ht="48" customHeight="1">
      <c r="A18" s="19" t="n">
        <v>13</v>
      </c>
      <c r="B18" s="19" t="inlineStr">
        <is>
          <t>Production-Smoke</t>
        </is>
      </c>
      <c r="C18" s="20" t="inlineStr">
        <is>
          <t>Zu wenige Seiten / keine Altlasten</t>
        </is>
      </c>
      <c r="D18" s="20" t="inlineStr">
        <is>
          <t>Keine Verbote für ODR, 20-€-Staffel, Signup</t>
        </is>
      </c>
      <c r="E18" s="20" t="inlineStr">
        <is>
          <t>Rechtsseiten, B2B, Luxus, Qualität, Zustand, Dellen. Verbote ODR / whitegloss.de / Alt-Upload / 10 km 20 / Registrieren. Preise 149/349/899.</t>
        </is>
      </c>
      <c r="F18" s="20" t="inlineStr">
        <is>
          <t>smoke-production.mjs</t>
        </is>
      </c>
      <c r="G18" s="20" t="inlineStr">
        <is>
          <t>Live: Signup-UI weg. Script prüft zusätzlich 10-km-20 und 149/349/899.</t>
        </is>
      </c>
      <c r="H18" s="12" t="inlineStr">
        <is>
          <t>PASS</t>
        </is>
      </c>
      <c r="I18" s="20" t="inlineStr">
        <is>
          <t>Allowlist ist kein HTML-Snippet — Nr. 23 bleibt FAIL bis Deploy.</t>
        </is>
      </c>
    </row>
    <row r="19" ht="48" customHeight="1">
      <c r="A19" s="21" t="n">
        <v>14</v>
      </c>
      <c r="B19" s="21" t="inlineStr">
        <is>
          <t>Security-Header / CSP</t>
        </is>
      </c>
      <c r="C19" s="22" t="inlineStr">
        <is>
          <t>Grok-Skript blockiert; DNS-Prefetch on</t>
        </is>
      </c>
      <c r="D19" s="22" t="inlineStr">
        <is>
          <t>script-src ohne grok.com; Prefetch-Header on</t>
        </is>
      </c>
      <c r="E19" s="22" t="inlineStr">
        <is>
          <t>script-src + connect-src https://grok.com (PWA-Injektor). X-DNS-Prefetch-Control off. unsafe-inline/eval unverändert (Framework).</t>
        </is>
      </c>
      <c r="F19" s="22" t="inlineStr">
        <is>
          <t>server/security-headers.ts</t>
        </is>
      </c>
      <c r="G19" s="22" t="inlineStr">
        <is>
          <t>Lokal Header: dns-prefetch off; grok.com in CSP. Live noch alter Header bis Nachzug.</t>
        </is>
      </c>
      <c r="H19" s="12" t="inlineStr">
        <is>
          <t>PASS</t>
        </is>
      </c>
      <c r="I19" s="22" t="inlineStr">
        <is>
          <t>Nonce-CSP Folgeauftrag. unsafe-* nicht als behoben verkauft.</t>
        </is>
      </c>
    </row>
    <row r="20" ht="48" customHeight="1">
      <c r="A20" s="19" t="n">
        <v>15</v>
      </c>
      <c r="B20" s="19" t="inlineStr">
        <is>
          <t>Admin / Agent Auth</t>
        </is>
      </c>
      <c r="C20" s="20" t="inlineStr">
        <is>
          <t>Öffentliche Selbstregistrierung = volles Panel</t>
        </is>
      </c>
      <c r="D20" s="20" t="inlineStr">
        <is>
          <t>email signup an, Google/X ohne Allowlist, nur if (!user)</t>
        </is>
      </c>
      <c r="E20" s="20" t="inlineStr">
        <is>
          <t>disableSignUp immer (nicht nur production). Login ohne Registrieren (bfb3aab live). operatorMiddleware + Allowlist @white-gloss.de / OWNER_EMAIL / ADMIN_EMAILS. n&lt;=1 Bootstrap. UI „Kein Betriebszugang“.</t>
        </is>
      </c>
      <c r="F20" s="20" t="inlineStr">
        <is>
          <t>email-password.ts; server.ts; login.tsx; operator.ts; admin.tsx; *functions.ts</t>
        </is>
      </c>
      <c r="G20" s="20" t="inlineStr">
        <is>
          <t>operator.test 4/4; lokal /login ohne Registrieren; typecheck</t>
        </is>
      </c>
      <c r="H20" s="12" t="inlineStr">
        <is>
          <t>PASS</t>
        </is>
      </c>
      <c r="I20" s="20" t="inlineStr">
        <is>
          <t>In Produktion Enforce an. Google-Gmail des Inhabers in ADMIN_EMAILS, sobald &gt;1 User. Live noch ohne Allowlist — siehe Nr. 23.</t>
        </is>
      </c>
    </row>
    <row r="21" ht="48" customHeight="1">
      <c r="A21" s="21" t="n">
        <v>16</v>
      </c>
      <c r="B21" s="21" t="inlineStr">
        <is>
          <t>Sitemap / SEO</t>
        </is>
      </c>
      <c r="C21" s="22" t="inlineStr">
        <is>
          <t>200, Canonical, keine old domain</t>
        </is>
      </c>
      <c r="D21" s="22" t="inlineStr">
        <is>
          <t>Bestand 0f386ef + PR 99</t>
        </is>
      </c>
      <c r="E21" s="22" t="inlineStr">
        <is>
          <t>Rechtstexte indexierbar. Smoke prüft noindex-Widerspruch.</t>
        </is>
      </c>
      <c r="F21" s="22" t="inlineStr">
        <is>
          <t>seo.ts; smoke-production.mjs</t>
        </is>
      </c>
      <c r="G21" s="22" t="inlineStr">
        <is>
          <t>Live 181 URLs indexierbar</t>
        </is>
      </c>
      <c r="H21" s="12" t="inlineStr">
        <is>
          <t>PASS</t>
        </is>
      </c>
      <c r="I21" s="22" t="inlineStr"/>
    </row>
    <row r="22" ht="48" customHeight="1">
      <c r="A22" s="19" t="n">
        <v>17</v>
      </c>
      <c r="B22" s="19" t="inlineStr">
        <is>
          <t>Strukturierte Daten</t>
        </is>
      </c>
      <c r="C22" s="20" t="inlineStr">
        <is>
          <t>Keine Fake-Sterne</t>
        </is>
      </c>
      <c r="D22" s="20" t="inlineStr">
        <is>
          <t>Bestand LocalBusiness/FAQ</t>
        </is>
      </c>
      <c r="E22" s="20" t="inlineStr">
        <is>
          <t>Kein aggregateRating erfunden.</t>
        </is>
      </c>
      <c r="F22" s="20" t="inlineStr">
        <is>
          <t>seo.ts; faq.tsx</t>
        </is>
      </c>
      <c r="G22" s="20" t="inlineStr">
        <is>
          <t>Code-Review</t>
        </is>
      </c>
      <c r="H22" s="12" t="inlineStr">
        <is>
          <t>PASS</t>
        </is>
      </c>
      <c r="I22" s="20" t="inlineStr">
        <is>
          <t>Rich-Results Search Console MANUAL.</t>
        </is>
      </c>
    </row>
    <row r="23" ht="48" customHeight="1">
      <c r="A23" s="21" t="n">
        <v>18</v>
      </c>
      <c r="B23" s="21" t="inlineStr">
        <is>
          <t>Formulare + Serverpreis</t>
        </is>
      </c>
      <c r="C23" s="22" t="inlineStr">
        <is>
          <t>Browserpreis darf nicht gelten; on-request als 0 gespeichert</t>
        </is>
      </c>
      <c r="D23" s="22" t="inlineStr">
        <is>
          <t>IDs müssen serverseitig rechnen; pickup null → 0</t>
        </is>
      </c>
      <c r="E23" s="22" t="inlineStr">
        <is>
          <t>assertKnownPricing. total_cents aus quoteTotal. Bei pickupOnRequest Notiz „Preis nicht im Gesamtbetrag“. Honeypot+Limit+Same-Site.</t>
        </is>
      </c>
      <c r="F23" s="22" t="inlineStr">
        <is>
          <t>bookings.functions.ts; site.ts; configurator.tsx</t>
        </is>
      </c>
      <c r="G23" s="22" t="inlineStr">
        <is>
          <t>pickup.test Sindelfingen on-request; HTML5 required Name/Datenschutz</t>
        </is>
      </c>
      <c r="H23" s="12" t="inlineStr">
        <is>
          <t>PASS</t>
        </is>
      </c>
      <c r="I23" s="22" t="inlineStr">
        <is>
          <t>UI-Negativmatrix nicht vollständig geklickt (MANUAL Rest).</t>
        </is>
      </c>
    </row>
    <row r="24" ht="48" customHeight="1">
      <c r="A24" s="19" t="n">
        <v>19</v>
      </c>
      <c r="B24" s="19" t="inlineStr">
        <is>
          <t>Keine Fake-Funktion / ERPNext</t>
        </is>
      </c>
      <c r="C24" s="20" t="inlineStr">
        <is>
          <t>sent ohne Adapter; keine Zoho</t>
        </is>
      </c>
      <c r="D24" s="20" t="inlineStr">
        <is>
          <t>Queue-Status + Strategie</t>
        </is>
      </c>
      <c r="E24" s="20" t="inlineStr">
        <is>
          <t>queued. Kunden-WA nicht mehr vorgemerkt. ERPNext unangetastet. Kein Zoho.</t>
        </is>
      </c>
      <c r="F24" s="20" t="inlineStr">
        <is>
          <t>ops.ts; admin.functions.ts</t>
        </is>
      </c>
      <c r="G24" s="20" t="inlineStr">
        <is>
          <t>Diff-Review</t>
        </is>
      </c>
      <c r="H24" s="12" t="inlineStr">
        <is>
          <t>PASS</t>
        </is>
      </c>
      <c r="I24" s="20" t="inlineStr"/>
    </row>
    <row r="25" ht="48" customHeight="1">
      <c r="A25" s="21" t="n">
        <v>20</v>
      </c>
      <c r="B25" s="21" t="inlineStr">
        <is>
          <t>Datenbank / Löschen</t>
        </is>
      </c>
      <c r="C25" s="22" t="inlineStr">
        <is>
          <t>PII-Dopplung, Aufbewahrung</t>
        </is>
      </c>
      <c r="D25" s="22" t="inlineStr">
        <is>
          <t>customers+bookings; Foto=Name</t>
        </is>
      </c>
      <c r="E25" s="22" t="inlineStr">
        <is>
          <t>Datenschutz Speicherdauer. Kein Auto-Delete von Belegen.</t>
        </is>
      </c>
      <c r="F25" s="22" t="inlineStr">
        <is>
          <t>datenschutz.tsx; bookings.functions.ts</t>
        </is>
      </c>
      <c r="G25" s="22" t="inlineStr">
        <is>
          <t>Code: Namen, keine Löschjobs</t>
        </is>
      </c>
      <c r="H25" s="15" t="inlineStr">
        <is>
          <t>MANUAL CHECK REQUIRED</t>
        </is>
      </c>
      <c r="I25" s="22" t="inlineStr">
        <is>
          <t>VVT/Löschkonzept Anwalt/Inhaber.</t>
        </is>
      </c>
    </row>
    <row r="26" ht="48" customHeight="1">
      <c r="A26" s="19" t="n">
        <v>21</v>
      </c>
      <c r="B26" s="19" t="inlineStr">
        <is>
          <t>USt-IdNr / Register</t>
        </is>
      </c>
      <c r="C26" s="20" t="inlineStr">
        <is>
          <t>Mögliche Pflichtangaben</t>
        </is>
      </c>
      <c r="D26" s="20" t="inlineStr">
        <is>
          <t>Im Repo nicht belegt</t>
        </is>
      </c>
      <c r="E26" s="20" t="inlineStr">
        <is>
          <t>Nichts erfunden.</t>
        </is>
      </c>
      <c r="F26" s="20" t="inlineStr">
        <is>
          <t>impressum.tsx</t>
        </is>
      </c>
      <c r="G26" s="20" t="inlineStr">
        <is>
          <t>Repo ohne belegte USt-IdNr/HR/W-IdNr</t>
        </is>
      </c>
      <c r="H26" s="15" t="inlineStr">
        <is>
          <t>MANUAL CHECK REQUIRED</t>
        </is>
      </c>
      <c r="I26" s="20" t="inlineStr">
        <is>
          <t>Falls vorhanden nachreichen.</t>
        </is>
      </c>
    </row>
    <row r="27" ht="48" customHeight="1">
      <c r="A27" s="21" t="n">
        <v>22</v>
      </c>
      <c r="B27" s="21" t="inlineStr">
        <is>
          <t>VSBG / BFSG</t>
        </is>
      </c>
      <c r="C27" s="22" t="inlineStr">
        <is>
          <t>Passt der Satz rechtlich?</t>
        </is>
      </c>
      <c r="D27" s="22" t="inlineStr">
        <is>
          <t>Schwellen nicht im Code</t>
        </is>
      </c>
      <c r="E27" s="22" t="inlineStr">
        <is>
          <t>Standard-Satz für nicht verpflichtete Unternehmer belassen. Keine Rechtsberatung.</t>
        </is>
      </c>
      <c r="F27" s="22" t="inlineStr">
        <is>
          <t>impressum.tsx</t>
        </is>
      </c>
      <c r="G27" s="22" t="inlineStr">
        <is>
          <t>Text da; Passgenauigkeit nicht code-testbar</t>
        </is>
      </c>
      <c r="H27" s="15" t="inlineStr">
        <is>
          <t>MANUAL CHECK REQUIRED</t>
        </is>
      </c>
      <c r="I27" s="22" t="inlineStr">
        <is>
          <t>Anwalt.</t>
        </is>
      </c>
    </row>
    <row r="28" ht="48" customHeight="1">
      <c r="A28" s="19" t="n">
        <v>23</v>
      </c>
      <c r="B28" s="19" t="inlineStr">
        <is>
          <t>Live vs Allowlist-PR</t>
        </is>
      </c>
      <c r="C28" s="20" t="inlineStr">
        <is>
          <t>Google/X-Konto = volles Panel auf Live</t>
        </is>
      </c>
      <c r="D28" s="20" t="inlineStr">
        <is>
          <t>authMiddleware prüft nur Session, keine Betreiber-E-Mail</t>
        </is>
      </c>
      <c r="E28" s="20" t="inlineStr">
        <is>
          <t>Nicht behaupten, die Allowlist sei live. bfb3aab hat nur die Signup-UI geschlossen.</t>
        </is>
      </c>
      <c r="F28" s="20" t="inlineStr">
        <is>
          <t>operator.ts; operator-middleware.ts</t>
        </is>
      </c>
      <c r="G28" s="20" t="inlineStr">
        <is>
          <t>Live /login 31.08.2026: keine Registrieren-UI. Admin-APIs ohne Allowlist.</t>
        </is>
      </c>
      <c r="H28" s="13" t="inlineStr">
        <is>
          <t>FAIL</t>
        </is>
      </c>
      <c r="I28" s="20" t="inlineStr">
        <is>
          <t>Nach Deploy dieses PR: Fremdkonto muss „Kein Betriebszugang“ sehen.</t>
        </is>
      </c>
    </row>
    <row r="29" ht="48" customHeight="1">
      <c r="A29" s="21" t="n">
        <v>24</v>
      </c>
      <c r="B29" s="21" t="inlineStr">
        <is>
          <t>Formulare UI-Fehlerfälle</t>
        </is>
      </c>
      <c r="C29" s="22" t="inlineStr">
        <is>
          <t>Leere Felder, oversize, Fake-IDs</t>
        </is>
      </c>
      <c r="D29" s="22" t="inlineStr">
        <is>
          <t>Server steht, UI nicht voll geklickt</t>
        </is>
      </c>
      <c r="E29" s="22" t="inlineStr">
        <is>
          <t>Zod-Limits, Honeypot, known IDs, HTML5 required.</t>
        </is>
      </c>
      <c r="F29" s="22" t="inlineStr">
        <is>
          <t>bookings.functions.ts; configurator; photo-inquiry</t>
        </is>
      </c>
      <c r="G29" s="22" t="inlineStr">
        <is>
          <t>Leer-Submit: native required Name + Datenschutz. Rest unvollständig.</t>
        </is>
      </c>
      <c r="H29" s="15" t="inlineStr">
        <is>
          <t>MANUAL CHECK REQUIRED</t>
        </is>
      </c>
      <c r="I29" s="22" t="inlineStr"/>
    </row>
    <row r="30" ht="48" customHeight="1">
      <c r="A30" s="19" t="n">
        <v>25</v>
      </c>
      <c r="B30" s="19" t="inlineStr">
        <is>
          <t>Tastatur Rest-AA</t>
        </is>
      </c>
      <c r="C30" s="20" t="inlineStr">
        <is>
          <t>Menü, Slider, 200%-Zoom</t>
        </is>
      </c>
      <c r="D30" s="20" t="inlineStr">
        <is>
          <t>Auftrag volle Matrix</t>
        </is>
      </c>
      <c r="E30" s="20" t="inlineStr">
        <is>
          <t>Skip-Link PASS (Tab+Enter → main-content). Kontrast PASS. Login Skip-Target ergänzt.</t>
        </is>
      </c>
      <c r="F30" s="20" t="inlineStr">
        <is>
          <t>site-chrome.tsx; login.tsx</t>
        </is>
      </c>
      <c r="G30" s="20" t="inlineStr">
        <is>
          <t>agent-browser Tab/Enter</t>
        </is>
      </c>
      <c r="H30" s="15" t="inlineStr">
        <is>
          <t>MANUAL CHECK REQUIRED</t>
        </is>
      </c>
      <c r="I30" s="20" t="inlineStr">
        <is>
          <t>Slider/Zoom/SR Folgecheck.</t>
        </is>
      </c>
    </row>
    <row r="31" ht="48" customHeight="1">
      <c r="A31" s="21" t="n">
        <v>26</v>
      </c>
      <c r="B31" s="21" t="inlineStr">
        <is>
          <t>Lighthouse 3×</t>
        </is>
      </c>
      <c r="C31" s="22" t="inlineStr">
        <is>
          <t>Median Start/Preise/Leistungen/Abhol</t>
        </is>
      </c>
      <c r="D31" s="22" t="inlineStr">
        <is>
          <t>Nicht gegen Branch gemessen</t>
        </is>
      </c>
      <c r="E31" s="22" t="inlineStr">
        <is>
          <t>Workflow 3 runs, Assertions vorbereitet.</t>
        </is>
      </c>
      <c r="F31" s="22" t="inlineStr">
        <is>
          <t>lighthouserc.*.cjs</t>
        </is>
      </c>
      <c r="G31" s="22" t="inlineStr">
        <is>
          <t>Nicht 3× gegen diesen Nachzug gelaufen</t>
        </is>
      </c>
      <c r="H31" s="15" t="inlineStr">
        <is>
          <t>MANUAL CHECK REQUIRED</t>
        </is>
      </c>
      <c r="I31" s="22" t="inlineStr">
        <is>
          <t>Kein Cherry-Pick des besten Laufs.</t>
        </is>
      </c>
    </row>
    <row r="32" ht="48" customHeight="1">
      <c r="A32" s="19" t="n">
        <v>27</v>
      </c>
      <c r="B32" s="19" t="inlineStr">
        <is>
          <t>CWV Feld</t>
        </is>
      </c>
      <c r="C32" s="20" t="inlineStr">
        <is>
          <t>LCP/INP/CLS Feld</t>
        </is>
      </c>
      <c r="D32" s="20" t="inlineStr">
        <is>
          <t>Keine CrUX-Abfrage</t>
        </is>
      </c>
      <c r="E32" s="20" t="inlineStr">
        <is>
          <t>AVIF/WebP, Fonts, lazy Configurator nicht zerstört.</t>
        </is>
      </c>
      <c r="F32" s="20" t="inlineStr">
        <is>
          <t>media-src.ts; styles.css</t>
        </is>
      </c>
      <c r="G32" s="20" t="inlineStr">
        <is>
          <t>Keine Feldmessung</t>
        </is>
      </c>
      <c r="H32" s="15" t="inlineStr">
        <is>
          <t>MANUAL CHECK REQUIRED</t>
        </is>
      </c>
      <c r="I32" s="20" t="inlineStr">
        <is>
          <t>Search Console nach Deploy.</t>
        </is>
      </c>
    </row>
    <row r="33" ht="48" customHeight="1">
      <c r="A33" s="21" t="n">
        <v>28</v>
      </c>
      <c r="B33" s="21" t="inlineStr">
        <is>
          <t>Maps HAR Live</t>
        </is>
      </c>
      <c r="C33" s="22" t="inlineStr">
        <is>
          <t>Vor Klick keine Google-Requests</t>
        </is>
      </c>
      <c r="D33" s="22" t="inlineStr">
        <is>
          <t>Nur Code + Browser-DOM</t>
        </is>
      </c>
      <c r="E33" s="22" t="inlineStr">
        <is>
          <t>iframe nur nach Klick. DNS-Prefetch off. Keine Google-Fonts.</t>
        </is>
      </c>
      <c r="F33" s="22" t="inlineStr">
        <is>
          <t>workshop-map.tsx; security-headers.ts</t>
        </is>
      </c>
      <c r="G33" s="22" t="inlineStr">
        <is>
          <t>agent-browser: 0 iframe, danach Google-Embed-URL</t>
        </is>
      </c>
      <c r="H33" s="12" t="inlineStr">
        <is>
          <t>PASS</t>
        </is>
      </c>
      <c r="I33" s="22" t="inlineStr">
        <is>
          <t>Volles HAR in DevTools nach Deploy empfohlen, nicht mehr blockierend.</t>
        </is>
      </c>
    </row>
    <row r="34" ht="48" customHeight="1">
      <c r="A34" s="19" t="n">
        <v>29</v>
      </c>
      <c r="B34" s="19" t="inlineStr">
        <is>
          <t>Operator-PIN</t>
        </is>
      </c>
      <c r="C34" s="20" t="inlineStr">
        <is>
          <t>Default WG-BETRIEB öffentlich</t>
        </is>
      </c>
      <c r="D34" s="20" t="inlineStr">
        <is>
          <t>Default im Code/DB</t>
        </is>
      </c>
      <c r="E34" s="20" t="inlineStr">
        <is>
          <t>Inbound und setOperatorPin lehnen Default ab. Panel hinter operatorMiddleware.</t>
        </is>
      </c>
      <c r="F34" s="20" t="inlineStr">
        <is>
          <t>admin.functions.ts; api.operator.ts</t>
        </is>
      </c>
      <c r="G34" s="20" t="inlineStr">
        <is>
          <t>Default-PIN return vor executeParsed</t>
        </is>
      </c>
      <c r="H34" s="12" t="inlineStr">
        <is>
          <t>PASS</t>
        </is>
      </c>
      <c r="I34" s="20" t="inlineStr">
        <is>
          <t>Eigenen PIN setzen bleibt MANUAL.</t>
        </is>
      </c>
    </row>
    <row r="35" ht="48" customHeight="1">
      <c r="A35" s="21" t="n">
        <v>30</v>
      </c>
      <c r="B35" s="21" t="inlineStr">
        <is>
          <t>Outbound wirklich senden</t>
        </is>
      </c>
      <c r="C35" s="22" t="inlineStr">
        <is>
          <t>queued nicht als sent verkaufen</t>
        </is>
      </c>
      <c r="D35" s="22" t="inlineStr">
        <is>
          <t>Kein bestätigter Sender</t>
        </is>
      </c>
      <c r="E35" s="22" t="inlineStr">
        <is>
          <t>Status queued. Kein Kunden-WA. Kein neuer WA-API-Call.</t>
        </is>
      </c>
      <c r="F35" s="22" t="inlineStr">
        <is>
          <t>ops.ts</t>
        </is>
      </c>
      <c r="G35" s="22" t="inlineStr">
        <is>
          <t>insert queued; Confirm ohne WA</t>
        </is>
      </c>
      <c r="H35" s="12" t="inlineStr">
        <is>
          <t>PASS</t>
        </is>
      </c>
      <c r="I35" s="22" t="inlineStr">
        <is>
          <t>Worker später: sent/failed.</t>
        </is>
      </c>
    </row>
    <row r="36" ht="48" customHeight="1">
      <c r="A36" s="19" t="n">
        <v>31</v>
      </c>
      <c r="B36" s="19" t="inlineStr">
        <is>
          <t>Regression Build/Routen</t>
        </is>
      </c>
      <c r="C36" s="20" t="inlineStr">
        <is>
          <t>test/typecheck/lint/build/Routen</t>
        </is>
      </c>
      <c r="D36" s="20" t="inlineStr">
        <is>
          <t>Pflicht nach Fixes</t>
        </is>
      </c>
      <c r="E36" s="20" t="inlineStr">
        <is>
          <t>33/33, tsc, eslint 0 err, lokale Routen 200.</t>
        </is>
      </c>
      <c r="F36" s="20" t="inlineStr">
        <is>
          <t>package.json; Diff</t>
        </is>
      </c>
      <c r="G36" s="20" t="inlineStr">
        <is>
          <t>Kommandos Exit 0</t>
        </is>
      </c>
      <c r="H36" s="12" t="inlineStr">
        <is>
          <t>PASS</t>
        </is>
      </c>
      <c r="I36" s="20" t="inlineStr"/>
    </row>
    <row r="37" ht="48" customHeight="1">
      <c r="A37" s="21" t="n">
        <v>32</v>
      </c>
      <c r="B37" s="21" t="inlineStr">
        <is>
          <t>CSP unsafe-* Rest</t>
        </is>
      </c>
      <c r="C37" s="22" t="inlineStr">
        <is>
          <t>unsafe-inline/eval</t>
        </is>
      </c>
      <c r="D37" s="22" t="inlineStr">
        <is>
          <t>Framework</t>
        </is>
      </c>
      <c r="E37" s="22" t="inlineStr">
        <is>
          <t>Nicht aufgeweicht außer grok.com Host. Nicht als behoben verkauft.</t>
        </is>
      </c>
      <c r="F37" s="22" t="inlineStr">
        <is>
          <t>security-headers.ts</t>
        </is>
      </c>
      <c r="G37" s="22" t="inlineStr">
        <is>
          <t>Diff: grok.com + dns-prefetch off</t>
        </is>
      </c>
      <c r="H37" s="15" t="inlineStr">
        <is>
          <t>MANUAL CHECK REQUIRED</t>
        </is>
      </c>
      <c r="I37" s="22" t="inlineStr">
        <is>
          <t>Nonce-Folgeauftrag.</t>
        </is>
      </c>
    </row>
    <row r="38" ht="48" customHeight="1">
      <c r="A38" s="19" t="n">
        <v>33</v>
      </c>
      <c r="B38" s="19" t="inlineStr">
        <is>
          <t>Rate-Limit Multi-Instanz</t>
        </is>
      </c>
      <c r="C38" s="20" t="inlineStr">
        <is>
          <t>In-Memory Map</t>
        </is>
      </c>
      <c r="D38" s="20" t="inlineStr">
        <is>
          <t>Ein Node auf VPS</t>
        </is>
      </c>
      <c r="E38" s="20" t="inlineStr">
        <is>
          <t>Einfach, ohne Captcha.</t>
        </is>
      </c>
      <c r="F38" s="20" t="inlineStr">
        <is>
          <t>rate-limit.ts</t>
        </is>
      </c>
      <c r="G38" s="20" t="inlineStr">
        <is>
          <t>4. Request blockiert</t>
        </is>
      </c>
      <c r="H38" s="12" t="inlineStr">
        <is>
          <t>PASS</t>
        </is>
      </c>
      <c r="I38" s="20" t="inlineStr">
        <is>
          <t>Mehrere Nodes: Limit nicht global.</t>
        </is>
      </c>
    </row>
    <row r="39" ht="48" customHeight="1">
      <c r="A39" s="21" t="n">
        <v>34</v>
      </c>
      <c r="B39" s="21" t="inlineStr">
        <is>
          <t>Kein Merge / keine Secrets</t>
        </is>
      </c>
      <c r="C39" s="22" t="inlineStr">
        <is>
          <t>.env und Prod-Push</t>
        </is>
      </c>
      <c r="D39" s="22" t="inlineStr">
        <is>
          <t>Arbeitsregel</t>
        </is>
      </c>
      <c r="E39" s="22" t="inlineStr">
        <is>
          <t>Nachzug nicht ungefragt auf IONOS. .env nicht im Commit.</t>
        </is>
      </c>
      <c r="F39" s="22" t="inlineStr">
        <is>
          <t>git status</t>
        </is>
      </c>
      <c r="G39" s="22" t="inlineStr">
        <is>
          <t>status ohne .env</t>
        </is>
      </c>
      <c r="H39" s="12" t="inlineStr">
        <is>
          <t>PASS</t>
        </is>
      </c>
      <c r="I39" s="22" t="inlineStr"/>
    </row>
    <row r="40" ht="48" customHeight="1">
      <c r="A40" s="19" t="n">
        <v>35</v>
      </c>
      <c r="B40" s="19" t="inlineStr">
        <is>
          <t>Abholung auf Anfrage</t>
        </is>
      </c>
      <c r="C40" s="20" t="inlineStr">
        <is>
          <t>Sindelfingen 52 km als 0 € gespeichert</t>
        </is>
      </c>
      <c r="D40" s="20" t="inlineStr">
        <is>
          <t>pickup null coalesced to 0</t>
        </is>
      </c>
      <c r="E40" s="20" t="inlineStr">
        <is>
          <t>Notiz an Buchung und Inbox. pickupOnRequest im quote. Configurator nutzt pickupPriceText.</t>
        </is>
      </c>
      <c r="F40" s="20" t="inlineStr">
        <is>
          <t>bookings.functions.ts; configurator.tsx; pickup.test.ts</t>
        </is>
      </c>
      <c r="G40" s="20" t="inlineStr">
        <is>
          <t>pickup.test on-request</t>
        </is>
      </c>
      <c r="H40" s="12" t="inlineStr">
        <is>
          <t>PASS</t>
        </is>
      </c>
      <c r="I40" s="20" t="inlineStr">
        <is>
          <t>pickup_cents bleibt 0 wegen NOT NULL — Notiz macht es sichtbar.</t>
        </is>
      </c>
    </row>
    <row r="41">
      <c r="A41" t="inlineStr">
        <is>
          <t>Summen (Formel)</t>
        </is>
      </c>
      <c r="H41" s="23">
        <f>COUNTA(H6:H40)</f>
        <v/>
      </c>
    </row>
  </sheetData>
  <autoFilter ref="A5:I40"/>
  <mergeCells count="2">
    <mergeCell ref="A1:I2"/>
    <mergeCell ref="A3:I3"/>
  </mergeCells>
  <dataValidations count="1">
    <dataValidation sqref="H6:H50" showDropDown="0" showInputMessage="0" showErrorMessage="0" allowBlank="0" type="list">
      <formula1>"PASS,FAIL,BLOCKED,MANUAL CHECK REQUIRED"</formula1>
    </dataValidation>
  </dataValidations>
  <pageMargins left="0.75" right="0.75" top="1" bottom="1" header="0.5" footer="0.5"/>
  <pageSetup orientation="landscape" fitToHeight="0" fitToWidth="1"/>
  <headerFooter>
    <oddHeader/>
    <oddFooter>&amp;LWHITE GLOSS Produktion-Audit 31.08.2026 — keine Rechtsberatung&amp;RSeite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7A4D"/>
    <outlinePr summaryBelow="1" summaryRight="1"/>
    <pageSetUpPr/>
  </sheetPr>
  <dimension ref="A1:F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22" customWidth="1" min="4" max="4"/>
    <col width="24" customWidth="1" min="5" max="5"/>
    <col width="55" customWidth="1" min="6" max="6"/>
  </cols>
  <sheetData>
    <row r="1">
      <c r="A1" s="1" t="inlineStr">
        <is>
          <t>Qualitätstore — nur was wirklich gelaufen ist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4" t="inlineStr">
        <is>
          <t>Keine PASS-Behauptung ohne Kommando oder Browserbeleg. Lighthouse-3er-Median dieses Nachzugs wurde nicht gemessen.</t>
        </is>
      </c>
    </row>
    <row r="5">
      <c r="A5" s="18" t="inlineStr">
        <is>
          <t>Nr</t>
        </is>
      </c>
      <c r="B5" s="18" t="inlineStr">
        <is>
          <t>Gate</t>
        </is>
      </c>
      <c r="C5" s="18" t="inlineStr">
        <is>
          <t>Kommando / Methode</t>
        </is>
      </c>
      <c r="D5" s="18" t="inlineStr">
        <is>
          <t>Umgebung</t>
        </is>
      </c>
      <c r="E5" s="18" t="inlineStr">
        <is>
          <t>Ergebnis</t>
        </is>
      </c>
      <c r="F5" s="18" t="inlineStr">
        <is>
          <t>Beleg</t>
        </is>
      </c>
    </row>
    <row r="6" ht="32" customHeight="1">
      <c r="A6" s="20" t="n">
        <v>1</v>
      </c>
      <c r="B6" s="20" t="inlineStr">
        <is>
          <t>Unit-Tests</t>
        </is>
      </c>
      <c r="C6" s="20" t="inlineStr">
        <is>
          <t>npm test</t>
        </is>
      </c>
      <c r="D6" s="20" t="inlineStr">
        <is>
          <t>Dieser PR lokal</t>
        </is>
      </c>
      <c r="E6" s="12" t="inlineStr">
        <is>
          <t>PASS</t>
        </is>
      </c>
      <c r="F6" s="20" t="inlineStr">
        <is>
          <t>33/33 pickup, ops, contrast, rate-limit, gate-identity, operator</t>
        </is>
      </c>
    </row>
    <row r="7" ht="32" customHeight="1">
      <c r="A7" s="22" t="n">
        <v>2</v>
      </c>
      <c r="B7" s="22" t="inlineStr">
        <is>
          <t>TypeScript</t>
        </is>
      </c>
      <c r="C7" s="22" t="inlineStr">
        <is>
          <t>npm run typecheck</t>
        </is>
      </c>
      <c r="D7" s="22" t="inlineStr">
        <is>
          <t>Nachzug lokal</t>
        </is>
      </c>
      <c r="E7" s="12" t="inlineStr">
        <is>
          <t>PASS</t>
        </is>
      </c>
      <c r="F7" s="22" t="inlineStr">
        <is>
          <t>tsc --noEmit Exit 0</t>
        </is>
      </c>
    </row>
    <row r="8" ht="32" customHeight="1">
      <c r="A8" s="20" t="n">
        <v>3</v>
      </c>
      <c r="B8" s="20" t="inlineStr">
        <is>
          <t>Lint</t>
        </is>
      </c>
      <c r="C8" s="20" t="inlineStr">
        <is>
          <t>npm run lint</t>
        </is>
      </c>
      <c r="D8" s="20" t="inlineStr">
        <is>
          <t>Nachzug lokal</t>
        </is>
      </c>
      <c r="E8" s="12" t="inlineStr">
        <is>
          <t>PASS</t>
        </is>
      </c>
      <c r="F8" s="20" t="inlineStr">
        <is>
          <t>0 errors, 4 vorbestehende warnings</t>
        </is>
      </c>
    </row>
    <row r="9" ht="32" customHeight="1">
      <c r="A9" s="22" t="n">
        <v>4</v>
      </c>
      <c r="B9" s="22" t="inlineStr">
        <is>
          <t>Production Build</t>
        </is>
      </c>
      <c r="C9" s="22" t="inlineStr">
        <is>
          <t>npm run build</t>
        </is>
      </c>
      <c r="D9" s="22" t="inlineStr">
        <is>
          <t>Nachzug lokal</t>
        </is>
      </c>
      <c r="E9" s="12" t="inlineStr">
        <is>
          <t>PASS</t>
        </is>
      </c>
      <c r="F9" s="22" t="inlineStr">
        <is>
          <t>Vite client+SSR, Nitro</t>
        </is>
      </c>
    </row>
    <row r="10" ht="32" customHeight="1">
      <c r="A10" s="20" t="n">
        <v>5</v>
      </c>
      <c r="B10" s="20" t="inlineStr">
        <is>
          <t>Lokale Routen</t>
        </is>
      </c>
      <c r="C10" s="20" t="inlineStr">
        <is>
          <t>HTTP GET Home/Login/Impressum</t>
        </is>
      </c>
      <c r="D10" s="20" t="inlineStr">
        <is>
          <t>Dev :8080</t>
        </is>
      </c>
      <c r="E10" s="12" t="inlineStr">
        <is>
          <t>PASS</t>
        </is>
      </c>
      <c r="F10" s="20" t="inlineStr">
        <is>
          <t>kein ODR, kein Signup, DNS-Prefetch off, 10 km kostenlos</t>
        </is>
      </c>
    </row>
    <row r="11" ht="32" customHeight="1">
      <c r="A11" s="22" t="n">
        <v>6</v>
      </c>
      <c r="B11" s="22" t="inlineStr">
        <is>
          <t>Live-Smoke PR 99 + bfb3aab</t>
        </is>
      </c>
      <c r="C11" s="22" t="inlineStr">
        <is>
          <t>npm run smoke:production</t>
        </is>
      </c>
      <c r="D11" s="22" t="inlineStr">
        <is>
          <t>white-gloss.de</t>
        </is>
      </c>
      <c r="E11" s="12" t="inlineStr">
        <is>
          <t>PASS</t>
        </is>
      </c>
      <c r="F11" s="22" t="inlineStr">
        <is>
          <t>Signup-UI weg. ODR/Upload/wg-cookie weg. 10 km kostenlos. Allowlist nicht per HTML prüfbar</t>
        </is>
      </c>
    </row>
    <row r="12" ht="32" customHeight="1">
      <c r="A12" s="20" t="n">
        <v>7</v>
      </c>
      <c r="B12" s="20" t="inlineStr">
        <is>
          <t>Skip-Link</t>
        </is>
      </c>
      <c r="C12" s="20" t="inlineStr">
        <is>
          <t>Tab + Enter</t>
        </is>
      </c>
      <c r="D12" s="20" t="inlineStr">
        <is>
          <t>Preview</t>
        </is>
      </c>
      <c r="E12" s="12" t="inlineStr">
        <is>
          <t>PASS</t>
        </is>
      </c>
      <c r="F12" s="20" t="inlineStr">
        <is>
          <t>Fokus #main-content</t>
        </is>
      </c>
    </row>
    <row r="13" ht="32" customHeight="1">
      <c r="A13" s="22" t="n">
        <v>8</v>
      </c>
      <c r="B13" s="22" t="inlineStr">
        <is>
          <t>Cookie-Banner</t>
        </is>
      </c>
      <c r="C13" s="22" t="inlineStr">
        <is>
          <t>DOM</t>
        </is>
      </c>
      <c r="D13" s="22" t="inlineStr">
        <is>
          <t>Preview + Live</t>
        </is>
      </c>
      <c r="E13" s="12" t="inlineStr">
        <is>
          <t>PASS</t>
        </is>
      </c>
      <c r="F13" s="22" t="inlineStr">
        <is>
          <t>Kein Hinweis</t>
        </is>
      </c>
    </row>
    <row r="14" ht="32" customHeight="1">
      <c r="A14" s="20" t="n">
        <v>9</v>
      </c>
      <c r="B14" s="20" t="inlineStr">
        <is>
          <t>Maps 2-Klick</t>
        </is>
      </c>
      <c r="C14" s="20" t="inlineStr">
        <is>
          <t>DOM iframe count</t>
        </is>
      </c>
      <c r="D14" s="20" t="inlineStr">
        <is>
          <t>Preview</t>
        </is>
      </c>
      <c r="E14" s="12" t="inlineStr">
        <is>
          <t>PASS</t>
        </is>
      </c>
      <c r="F14" s="20" t="inlineStr">
        <is>
          <t>0 iframe, nach Klick Google-Embed</t>
        </is>
      </c>
    </row>
    <row r="15" ht="32" customHeight="1">
      <c r="A15" s="22" t="n">
        <v>10</v>
      </c>
      <c r="B15" s="22" t="inlineStr">
        <is>
          <t>Impressum</t>
        </is>
      </c>
      <c r="C15" s="22" t="inlineStr">
        <is>
          <t>Live curl + Browser</t>
        </is>
      </c>
      <c r="D15" s="22" t="inlineStr">
        <is>
          <t>white-gloss.de + Preview</t>
        </is>
      </c>
      <c r="E15" s="12" t="inlineStr">
        <is>
          <t>PASS</t>
        </is>
      </c>
      <c r="F15" s="22" t="inlineStr">
        <is>
          <t>kein ODR, VSBG, OS nicht betrieben</t>
        </is>
      </c>
    </row>
    <row r="16" ht="32" customHeight="1">
      <c r="A16" s="20" t="n">
        <v>11</v>
      </c>
      <c r="B16" s="20" t="inlineStr">
        <is>
          <t>Preise</t>
        </is>
      </c>
      <c r="C16" s="20" t="inlineStr">
        <is>
          <t>Live curl + Browser</t>
        </is>
      </c>
      <c r="D16" s="20" t="inlineStr">
        <is>
          <t>white-gloss.de + Preview</t>
        </is>
      </c>
      <c r="E16" s="12" t="inlineStr">
        <is>
          <t>PASS</t>
        </is>
      </c>
      <c r="F16" s="20" t="inlineStr">
        <is>
          <t>Staffel 10/20/50 km kostenlos/50/70, Keramik 60 km</t>
        </is>
      </c>
    </row>
    <row r="17" ht="32" customHeight="1">
      <c r="A17" s="22" t="n">
        <v>12</v>
      </c>
      <c r="B17" s="22" t="inlineStr">
        <is>
          <t>Login Signup-UI</t>
        </is>
      </c>
      <c r="C17" s="22" t="inlineStr">
        <is>
          <t>Browser + Smoke</t>
        </is>
      </c>
      <c r="D17" s="22" t="inlineStr">
        <is>
          <t>Preview + Live</t>
        </is>
      </c>
      <c r="E17" s="12" t="inlineStr">
        <is>
          <t>PASS</t>
        </is>
      </c>
      <c r="F17" s="22" t="inlineStr">
        <is>
          <t>Kein Registrieren. Google/X bleiben für den Inhaber.</t>
        </is>
      </c>
    </row>
    <row r="18" ht="32" customHeight="1">
      <c r="A18" s="20" t="n">
        <v>13</v>
      </c>
      <c r="B18" s="20" t="inlineStr">
        <is>
          <t>Formular leer</t>
        </is>
      </c>
      <c r="C18" s="20" t="inlineStr">
        <is>
          <t>HTML5 required</t>
        </is>
      </c>
      <c r="D18" s="20" t="inlineStr">
        <is>
          <t>Preview</t>
        </is>
      </c>
      <c r="E18" s="12" t="inlineStr">
        <is>
          <t>PASS</t>
        </is>
      </c>
      <c r="F18" s="20" t="inlineStr">
        <is>
          <t>Name + Datenschutz required</t>
        </is>
      </c>
    </row>
    <row r="19" ht="32" customHeight="1">
      <c r="A19" s="22" t="n">
        <v>14</v>
      </c>
      <c r="B19" s="22" t="inlineStr">
        <is>
          <t>Kontrast</t>
        </is>
      </c>
      <c r="C19" s="22" t="inlineStr">
        <is>
          <t>contrast.test</t>
        </is>
      </c>
      <c r="D19" s="22" t="inlineStr">
        <is>
          <t>Unit</t>
        </is>
      </c>
      <c r="E19" s="12" t="inlineStr">
        <is>
          <t>PASS</t>
        </is>
      </c>
      <c r="F19" s="22" t="inlineStr">
        <is>
          <t>danger/muted/subtle ≥ 4,5:1</t>
        </is>
      </c>
    </row>
    <row r="20" ht="32" customHeight="1">
      <c r="A20" s="20" t="n">
        <v>15</v>
      </c>
      <c r="B20" s="20" t="inlineStr">
        <is>
          <t>Lighthouse 3× Median</t>
        </is>
      </c>
      <c r="C20" s="20" t="inlineStr">
        <is>
          <t>lhci autorun</t>
        </is>
      </c>
      <c r="D20" s="20" t="inlineStr">
        <is>
          <t>nicht gegen diesen PR</t>
        </is>
      </c>
      <c r="E20" s="15" t="inlineStr">
        <is>
          <t>MANUAL CHECK REQUIRED</t>
        </is>
      </c>
      <c r="F20" s="20" t="inlineStr">
        <is>
          <t>CI verdrahtet, Lauf nach Deploy</t>
        </is>
      </c>
    </row>
    <row r="21" ht="32" customHeight="1">
      <c r="A21" s="22" t="n">
        <v>16</v>
      </c>
      <c r="B21" s="22" t="inlineStr">
        <is>
          <t>Live = Allowlist-PR</t>
        </is>
      </c>
      <c r="C21" s="22" t="inlineStr">
        <is>
          <t>Inhalt vs Code</t>
        </is>
      </c>
      <c r="D21" s="22" t="inlineStr">
        <is>
          <t>white-gloss.de</t>
        </is>
      </c>
      <c r="E21" s="13" t="inlineStr">
        <is>
          <t>FAIL</t>
        </is>
      </c>
      <c r="F21" s="22" t="inlineStr">
        <is>
          <t>Live = bfb3aab, ohne operatorMiddleware</t>
        </is>
      </c>
    </row>
    <row r="24">
      <c r="A24" t="inlineStr">
        <is>
          <t>PASS-Gates</t>
        </is>
      </c>
      <c r="B24">
        <f>COUNTIF(E6:E21,"PASS")</f>
        <v/>
      </c>
    </row>
    <row r="25">
      <c r="A25" t="inlineStr">
        <is>
          <t>FAIL-Gates</t>
        </is>
      </c>
      <c r="B25">
        <f>COUNTIF(E6:E21,"FAIL")</f>
        <v/>
      </c>
    </row>
    <row r="26">
      <c r="A26" t="inlineStr">
        <is>
          <t>MANUAL</t>
        </is>
      </c>
      <c r="B26">
        <f>COUNTIF(E6:E21,"MANUAL CHECK REQUIRED")</f>
        <v/>
      </c>
    </row>
  </sheetData>
  <mergeCells count="2">
    <mergeCell ref="A3:F3"/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6D00"/>
    <outlinePr summaryBelow="1" summaryRight="1"/>
    <pageSetUpPr/>
  </sheetPr>
  <dimension ref="A1:F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6" customWidth="1" min="3" max="3"/>
    <col width="22" customWidth="1" min="4" max="4"/>
    <col width="50" customWidth="1" min="5" max="5"/>
    <col width="24" customWidth="1" min="6" max="6"/>
  </cols>
  <sheetData>
    <row r="1">
      <c r="A1" s="1" t="inlineStr">
        <is>
          <t>Offene manuelle Punkte — nichts davon erfunden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5">
      <c r="A5" s="18" t="inlineStr">
        <is>
          <t>Nr</t>
        </is>
      </c>
      <c r="B5" s="18" t="inlineStr">
        <is>
          <t>Thema</t>
        </is>
      </c>
      <c r="C5" s="18" t="inlineStr">
        <is>
          <t>Warum offen</t>
        </is>
      </c>
      <c r="D5" s="18" t="inlineStr">
        <is>
          <t>Wer</t>
        </is>
      </c>
      <c r="E5" s="18" t="inlineStr">
        <is>
          <t>Nächster Schritt</t>
        </is>
      </c>
      <c r="F5" s="18" t="inlineStr">
        <is>
          <t>Status</t>
        </is>
      </c>
    </row>
    <row r="6" ht="28" customHeight="1">
      <c r="A6" s="20" t="n">
        <v>1</v>
      </c>
      <c r="B6" s="20" t="inlineStr">
        <is>
          <t>USt-IdNr.</t>
        </is>
      </c>
      <c r="C6" s="20" t="inlineStr">
        <is>
          <t>Im Repo nicht belegt</t>
        </is>
      </c>
      <c r="D6" s="20" t="inlineStr">
        <is>
          <t>Inhaber / Steuerberatung</t>
        </is>
      </c>
      <c r="E6" s="20" t="inlineStr">
        <is>
          <t>Nur eintragen wenn vorhanden.</t>
        </is>
      </c>
      <c r="F6" s="15" t="inlineStr">
        <is>
          <t>MANUAL CHECK REQUIRED</t>
        </is>
      </c>
    </row>
    <row r="7" ht="28" customHeight="1">
      <c r="A7" s="22" t="n">
        <v>2</v>
      </c>
      <c r="B7" s="22" t="inlineStr">
        <is>
          <t>Wirtschafts-ID</t>
        </is>
      </c>
      <c r="C7" s="22" t="inlineStr">
        <is>
          <t>Nicht im Repo</t>
        </is>
      </c>
      <c r="D7" s="22" t="inlineStr">
        <is>
          <t>Inhaber</t>
        </is>
      </c>
      <c r="E7" s="22" t="inlineStr">
        <is>
          <t>Nur nach Zuteilung.</t>
        </is>
      </c>
      <c r="F7" s="15" t="inlineStr">
        <is>
          <t>MANUAL CHECK REQUIRED</t>
        </is>
      </c>
    </row>
    <row r="8" ht="28" customHeight="1">
      <c r="A8" s="20" t="n">
        <v>3</v>
      </c>
      <c r="B8" s="20" t="inlineStr">
        <is>
          <t>Handelsregister</t>
        </is>
      </c>
      <c r="C8" s="20" t="inlineStr">
        <is>
          <t>Einzelunternehmen, nicht belegt</t>
        </is>
      </c>
      <c r="D8" s="20" t="inlineStr">
        <is>
          <t>Inhaber</t>
        </is>
      </c>
      <c r="E8" s="20" t="inlineStr">
        <is>
          <t>Nur wenn eingetragen.</t>
        </is>
      </c>
      <c r="F8" s="15" t="inlineStr">
        <is>
          <t>MANUAL CHECK REQUIRED</t>
        </is>
      </c>
    </row>
    <row r="9" ht="28" customHeight="1">
      <c r="A9" s="22" t="n">
        <v>4</v>
      </c>
      <c r="B9" s="22" t="inlineStr">
        <is>
          <t>VSBG-Pflicht</t>
        </is>
      </c>
      <c r="C9" s="22" t="inlineStr">
        <is>
          <t>Schwellen unbekannt</t>
        </is>
      </c>
      <c r="D9" s="22" t="inlineStr">
        <is>
          <t>Anwalt</t>
        </is>
      </c>
      <c r="E9" s="22" t="inlineStr">
        <is>
          <t>Satz prüfen. OS-Hinweis faktisch korrekt.</t>
        </is>
      </c>
      <c r="F9" s="15" t="inlineStr">
        <is>
          <t>MANUAL CHECK REQUIRED</t>
        </is>
      </c>
    </row>
    <row r="10" ht="28" customHeight="1">
      <c r="A10" s="20" t="n">
        <v>5</v>
      </c>
      <c r="B10" s="20" t="inlineStr">
        <is>
          <t>BFSG</t>
        </is>
      </c>
      <c r="C10" s="20" t="inlineStr">
        <is>
          <t>Geltung abhängig von Größe</t>
        </is>
      </c>
      <c r="D10" s="20" t="inlineStr">
        <is>
          <t>Anwalt</t>
        </is>
      </c>
      <c r="E10" s="20" t="inlineStr">
        <is>
          <t>Technisch AA; Rechtspflicht klären.</t>
        </is>
      </c>
      <c r="F10" s="15" t="inlineStr">
        <is>
          <t>MANUAL CHECK REQUIRED</t>
        </is>
      </c>
    </row>
    <row r="11" ht="28" customHeight="1">
      <c r="A11" s="22" t="n">
        <v>6</v>
      </c>
      <c r="B11" s="22" t="inlineStr">
        <is>
          <t>Operator-PIN</t>
        </is>
      </c>
      <c r="C11" s="22" t="inlineStr">
        <is>
          <t>Default wird abgelehnt</t>
        </is>
      </c>
      <c r="D11" s="22" t="inlineStr">
        <is>
          <t>Inhaber im Panel</t>
        </is>
      </c>
      <c r="E11" s="22" t="inlineStr">
        <is>
          <t>Eigenen PIN ≠ WG-BETRIEB setzen.</t>
        </is>
      </c>
      <c r="F11" s="15" t="inlineStr">
        <is>
          <t>MANUAL CHECK REQUIRED</t>
        </is>
      </c>
    </row>
    <row r="12" ht="28" customHeight="1">
      <c r="A12" s="20" t="n">
        <v>7</v>
      </c>
      <c r="B12" s="20" t="inlineStr">
        <is>
          <t>ADMIN_EMAILS</t>
        </is>
      </c>
      <c r="C12" s="20" t="inlineStr">
        <is>
          <t>Google-Konto des Inhabers unbekannt</t>
        </is>
      </c>
      <c r="D12" s="20" t="inlineStr">
        <is>
          <t>Inhaber / Hosting</t>
        </is>
      </c>
      <c r="E12" s="20" t="inlineStr">
        <is>
          <t>Falls mehr als ein Auth-User: Google-Adresse in ADMIN_EMAILS.</t>
        </is>
      </c>
      <c r="F12" s="15" t="inlineStr">
        <is>
          <t>MANUAL CHECK REQUIRED</t>
        </is>
      </c>
    </row>
    <row r="13" ht="28" customHeight="1">
      <c r="A13" s="22" t="n">
        <v>8</v>
      </c>
      <c r="B13" s="22" t="inlineStr">
        <is>
          <t>Allowlist-Deploy</t>
        </is>
      </c>
      <c r="C13" s="22" t="inlineStr">
        <is>
          <t>Google/X ohne Allowlist = Panel</t>
        </is>
      </c>
      <c r="D13" s="22" t="inlineStr">
        <is>
          <t>Inhaber</t>
        </is>
      </c>
      <c r="E13" s="22" t="inlineStr">
        <is>
          <t>Diesen PR mergen, IONOS deployen. ADMIN_EMAILS setzen falls Inhaber-Google ≠ @white-gloss.de.</t>
        </is>
      </c>
      <c r="F13" s="13" t="inlineStr">
        <is>
          <t>FAIL</t>
        </is>
      </c>
    </row>
    <row r="14" ht="28" customHeight="1">
      <c r="A14" s="20" t="n">
        <v>9</v>
      </c>
      <c r="B14" s="20" t="inlineStr">
        <is>
          <t>Lighthouse-Median</t>
        </is>
      </c>
      <c r="C14" s="20" t="inlineStr">
        <is>
          <t>Nicht 3× gegen Nachzug</t>
        </is>
      </c>
      <c r="D14" s="20" t="inlineStr">
        <is>
          <t>CI</t>
        </is>
      </c>
      <c r="E14" s="20" t="inlineStr">
        <is>
          <t>Nach Deploy, keinen Bestlauf cherrypicken.</t>
        </is>
      </c>
      <c r="F14" s="15" t="inlineStr">
        <is>
          <t>MANUAL CHECK REQUIRED</t>
        </is>
      </c>
    </row>
    <row r="15" ht="28" customHeight="1">
      <c r="A15" s="22" t="n">
        <v>10</v>
      </c>
      <c r="B15" s="22" t="inlineStr">
        <is>
          <t>AVV IONOS/Meta/Google</t>
        </is>
      </c>
      <c r="C15" s="22" t="inlineStr">
        <is>
          <t>Verträge nicht im Repo</t>
        </is>
      </c>
      <c r="D15" s="22" t="inlineStr">
        <is>
          <t>Inhaber</t>
        </is>
      </c>
      <c r="E15" s="22" t="inlineStr">
        <is>
          <t>AVV/TOMs vorhalten.</t>
        </is>
      </c>
      <c r="F15" s="15" t="inlineStr">
        <is>
          <t>MANUAL CHECK REQUIRED</t>
        </is>
      </c>
    </row>
    <row r="16" ht="28" customHeight="1">
      <c r="A16" s="20" t="n">
        <v>11</v>
      </c>
      <c r="B16" s="20" t="inlineStr">
        <is>
          <t>Löschkonzept / VVT</t>
        </is>
      </c>
      <c r="C16" s="20" t="inlineStr">
        <is>
          <t>Nur generische Speicherdauer</t>
        </is>
      </c>
      <c r="D16" s="20" t="inlineStr">
        <is>
          <t>Datenschutz</t>
        </is>
      </c>
      <c r="E16" s="20" t="inlineStr">
        <is>
          <t>Anfrage vs. Belegfristen trennen.</t>
        </is>
      </c>
      <c r="F16" s="15" t="inlineStr">
        <is>
          <t>MANUAL CHECK REQUIRED</t>
        </is>
      </c>
    </row>
    <row r="17" ht="28" customHeight="1">
      <c r="A17" s="22" t="n">
        <v>12</v>
      </c>
      <c r="B17" s="22" t="inlineStr">
        <is>
          <t>CSP ohne unsafe-*</t>
        </is>
      </c>
      <c r="C17" s="22" t="inlineStr">
        <is>
          <t>Framework</t>
        </is>
      </c>
      <c r="D17" s="22" t="inlineStr">
        <is>
          <t>Entwicklung</t>
        </is>
      </c>
      <c r="E17" s="22" t="inlineStr">
        <is>
          <t>Nonce-Folgeauftrag.</t>
        </is>
      </c>
      <c r="F17" s="15" t="inlineStr">
        <is>
          <t>MANUAL CHECK REQUIRED</t>
        </is>
      </c>
    </row>
    <row r="18" ht="28" customHeight="1">
      <c r="A18" s="20" t="n">
        <v>13</v>
      </c>
      <c r="B18" s="20" t="inlineStr">
        <is>
          <t>Outbound-Worker</t>
        </is>
      </c>
      <c r="C18" s="20" t="inlineStr">
        <is>
          <t>Kein Sender</t>
        </is>
      </c>
      <c r="D18" s="20" t="inlineStr">
        <is>
          <t>Entwicklung</t>
        </is>
      </c>
      <c r="E18" s="20" t="inlineStr">
        <is>
          <t>queued bis Adapter echt sendet. Kunden-WA bewusst nicht queue.</t>
        </is>
      </c>
      <c r="F18" s="12" t="inlineStr">
        <is>
          <t>PASS</t>
        </is>
      </c>
    </row>
    <row r="20">
      <c r="A20" t="inlineStr">
        <is>
          <t>Offen (MANUAL+FAIL)</t>
        </is>
      </c>
      <c r="B20">
        <f>COUNTIF(F6:F18,"MANUAL CHECK REQUIRED")+COUNTIF(F6:F18,"FAIL")</f>
        <v/>
      </c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B2C2C"/>
    <outlinePr summaryBelow="1" summaryRight="1"/>
    <pageSetUpPr/>
  </sheetPr>
  <dimension ref="A1:F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4" customWidth="1" min="3" max="3"/>
    <col width="22" customWidth="1" min="4" max="4"/>
    <col width="42" customWidth="1" min="5" max="5"/>
    <col width="28" customWidth="1" min="6" max="6"/>
  </cols>
  <sheetData>
    <row r="1">
      <c r="A1" s="1" t="inlineStr">
        <is>
          <t>Verbleibende Risiken nach diesem Nachzug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5">
      <c r="A5" s="18" t="inlineStr">
        <is>
          <t>ID</t>
        </is>
      </c>
      <c r="B5" s="18" t="inlineStr">
        <is>
          <t>Risiko</t>
        </is>
      </c>
      <c r="C5" s="18" t="inlineStr">
        <is>
          <t>Schwere</t>
        </is>
      </c>
      <c r="D5" s="18" t="inlineStr">
        <is>
          <t>Wahrscheinlichkeit</t>
        </is>
      </c>
      <c r="E5" s="18" t="inlineStr">
        <is>
          <t>Mitigation</t>
        </is>
      </c>
      <c r="F5" s="18" t="inlineStr">
        <is>
          <t>Rest</t>
        </is>
      </c>
    </row>
    <row r="6" ht="32" customHeight="1">
      <c r="A6" s="20" t="inlineStr">
        <is>
          <t>R1</t>
        </is>
      </c>
      <c r="B6" s="20" t="inlineStr">
        <is>
          <t>Live: jedes Google/X-Konto sieht Kundendaten bis Allowlist-Deploy</t>
        </is>
      </c>
      <c r="C6" s="20" t="inlineStr">
        <is>
          <t>hoch</t>
        </is>
      </c>
      <c r="D6" s="20" t="inlineStr">
        <is>
          <t>sicher bis Deploy</t>
        </is>
      </c>
      <c r="E6" s="20" t="inlineStr">
        <is>
          <t>operatorMiddleware in diesem PR</t>
        </is>
      </c>
      <c r="F6" s="20" t="inlineStr">
        <is>
          <t>Mergen+deployen; ADMIN_EMAILS</t>
        </is>
      </c>
    </row>
    <row r="7" ht="32" customHeight="1">
      <c r="A7" s="22" t="inlineStr">
        <is>
          <t>R2</t>
        </is>
      </c>
      <c r="B7" s="22" t="inlineStr">
        <is>
          <t>Inhaber-Google ≠ @white-gloss.de und &gt;1 User → Zugangssperre</t>
        </is>
      </c>
      <c r="C7" s="22" t="inlineStr">
        <is>
          <t>mittel</t>
        </is>
      </c>
      <c r="D7" s="22" t="inlineStr">
        <is>
          <t>wenn zweites Konto existiert</t>
        </is>
      </c>
      <c r="E7" s="22" t="inlineStr">
        <is>
          <t>ADMIN_EMAILS setzen; n&lt;=1 Bootstrap</t>
        </is>
      </c>
      <c r="F7" s="22" t="inlineStr">
        <is>
          <t>Env nach erstem Login prüfen</t>
        </is>
      </c>
    </row>
    <row r="8" ht="32" customHeight="1">
      <c r="A8" s="20" t="inlineStr">
        <is>
          <t>R3</t>
        </is>
      </c>
      <c r="B8" s="20" t="inlineStr">
        <is>
          <t>Operator-Webhook nur PIN</t>
        </is>
      </c>
      <c r="C8" s="20" t="inlineStr">
        <is>
          <t>hoch</t>
        </is>
      </c>
      <c r="D8" s="20" t="inlineStr">
        <is>
          <t>mittel</t>
        </is>
      </c>
      <c r="E8" s="20" t="inlineStr">
        <is>
          <t>Default tot, Rate-Limit, Same-Site, eigener PIN</t>
        </is>
      </c>
      <c r="F8" s="20" t="inlineStr">
        <is>
          <t>PIN &lt; Session-Auth</t>
        </is>
      </c>
    </row>
    <row r="9" ht="32" customHeight="1">
      <c r="A9" s="22" t="inlineStr">
        <is>
          <t>R4</t>
        </is>
      </c>
      <c r="B9" s="22" t="inlineStr">
        <is>
          <t>CSP unsafe-inline/eval</t>
        </is>
      </c>
      <c r="C9" s="22" t="inlineStr">
        <is>
          <t>mittel</t>
        </is>
      </c>
      <c r="D9" s="22" t="inlineStr">
        <is>
          <t>bestehend</t>
        </is>
      </c>
      <c r="E9" s="22" t="inlineStr">
        <is>
          <t>Nicht weiter aufgeweicht; grok.com Host ergänzt</t>
        </is>
      </c>
      <c r="F9" s="22" t="inlineStr">
        <is>
          <t>XSS-Oberfläche</t>
        </is>
      </c>
    </row>
    <row r="10" ht="32" customHeight="1">
      <c r="A10" s="20" t="inlineStr">
        <is>
          <t>R5</t>
        </is>
      </c>
      <c r="B10" s="20" t="inlineStr">
        <is>
          <t>In-Memory Rate-Limit</t>
        </is>
      </c>
      <c r="C10" s="20" t="inlineStr">
        <is>
          <t>niedrig-mittel</t>
        </is>
      </c>
      <c r="D10" s="20" t="inlineStr">
        <is>
          <t>Multi-Prozess</t>
        </is>
      </c>
      <c r="E10" s="20" t="inlineStr">
        <is>
          <t>pro Node wirksam</t>
        </is>
      </c>
      <c r="F10" s="20" t="inlineStr">
        <is>
          <t>verteilt umgehbar</t>
        </is>
      </c>
    </row>
    <row r="11" ht="32" customHeight="1">
      <c r="A11" s="22" t="inlineStr">
        <is>
          <t>R6</t>
        </is>
      </c>
      <c r="B11" s="22" t="inlineStr">
        <is>
          <t>Keine echte Mail/WA-Zustellung</t>
        </is>
      </c>
      <c r="C11" s="22" t="inlineStr">
        <is>
          <t>mittel</t>
        </is>
      </c>
      <c r="D11" s="22" t="inlineStr">
        <is>
          <t>sicher</t>
        </is>
      </c>
      <c r="E11" s="22" t="inlineStr">
        <is>
          <t>Status queued, keine Kunden-WA-Queue</t>
        </is>
      </c>
      <c r="F11" s="22" t="inlineStr">
        <is>
          <t>Kunde ohne Auto-Mail wenn Worker fehlt</t>
        </is>
      </c>
    </row>
    <row r="12" ht="32" customHeight="1">
      <c r="A12" s="20" t="inlineStr">
        <is>
          <t>R7</t>
        </is>
      </c>
      <c r="B12" s="20" t="inlineStr">
        <is>
          <t>Fotoanfrage ohne Dateiinhalt</t>
        </is>
      </c>
      <c r="C12" s="20" t="inlineStr">
        <is>
          <t>niedrig</t>
        </is>
      </c>
      <c r="D12" s="20" t="inlineStr">
        <is>
          <t>sicher</t>
        </is>
      </c>
      <c r="E12" s="20" t="inlineStr">
        <is>
          <t>Ehrliche UI Variante A</t>
        </is>
      </c>
      <c r="F12" s="20" t="inlineStr">
        <is>
          <t>Zweiter Kanal nötig</t>
        </is>
      </c>
    </row>
    <row r="13" ht="32" customHeight="1">
      <c r="A13" s="22" t="inlineStr">
        <is>
          <t>R8</t>
        </is>
      </c>
      <c r="B13" s="22" t="inlineStr">
        <is>
          <t>Impressum ohne USt-IdNr falls pflichtig</t>
        </is>
      </c>
      <c r="C13" s="22" t="inlineStr">
        <is>
          <t>mittel</t>
        </is>
      </c>
      <c r="D13" s="22" t="inlineStr">
        <is>
          <t>unbekannt</t>
        </is>
      </c>
      <c r="E13" s="22" t="inlineStr">
        <is>
          <t>Nicht erfunden</t>
        </is>
      </c>
      <c r="F13" s="22" t="inlineStr">
        <is>
          <t>Steuer/Anwalt</t>
        </is>
      </c>
    </row>
    <row r="14" ht="32" customHeight="1">
      <c r="A14" s="20" t="inlineStr">
        <is>
          <t>R9</t>
        </is>
      </c>
      <c r="B14" s="20" t="inlineStr">
        <is>
          <t>LHCI testet Live, nicht PR</t>
        </is>
      </c>
      <c r="C14" s="20" t="inlineStr">
        <is>
          <t>niedrig</t>
        </is>
      </c>
      <c r="D14" s="20" t="inlineStr">
        <is>
          <t>sicher</t>
        </is>
      </c>
      <c r="E14" s="20" t="inlineStr">
        <is>
          <t>Netz nach Merge</t>
        </is>
      </c>
      <c r="F14" s="20" t="inlineStr">
        <is>
          <t>PR kann wegen alter Live rot werden</t>
        </is>
      </c>
    </row>
    <row r="15" ht="32" customHeight="1">
      <c r="A15" s="22" t="inlineStr">
        <is>
          <t>R10</t>
        </is>
      </c>
      <c r="B15" s="22" t="inlineStr">
        <is>
          <t>Same-Site-Header fehlt bei alten Clients</t>
        </is>
      </c>
      <c r="C15" s="22" t="inlineStr">
        <is>
          <t>niedrig</t>
        </is>
      </c>
      <c r="D15" s="22" t="inlineStr">
        <is>
          <t>selten</t>
        </is>
      </c>
      <c r="E15" s="22" t="inlineStr">
        <is>
          <t>assertSameSiteRequest lässt Requests ohne Sec-Fetch-Site durch</t>
        </is>
      </c>
      <c r="F15" s="22" t="inlineStr">
        <is>
          <t>Honeypot+Rate-Limit bleiben</t>
        </is>
      </c>
    </row>
  </sheetData>
  <mergeCells count="1">
    <mergeCell ref="A1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7868"/>
    <outlinePr summaryBelow="1" summaryRight="1"/>
    <pageSetUpPr/>
  </sheetPr>
  <dimension ref="A1:G3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2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WCAG 2.2 Kontrast — Luminanz und Verhältnis per Formel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t="inlineStr">
        <is>
          <t>Schwelle Normaltext AA</t>
        </is>
      </c>
      <c r="B3" s="25" t="n">
        <v>4.5</v>
      </c>
    </row>
    <row r="4">
      <c r="A4" s="24" t="inlineStr">
        <is>
          <t>sRGB: C&lt;=0,04045 → C/12,92 sonst ((C+0,055)/1,055)^2,4; L=0,2126R+0,7152G+0,0722B; Ratio=(Lhell+0,05)/(Ldunkel+0,05)</t>
        </is>
      </c>
    </row>
    <row r="6">
      <c r="A6" s="18" t="inlineStr">
        <is>
          <t>Token</t>
        </is>
      </c>
      <c r="B6" s="18" t="inlineStr">
        <is>
          <t>Hex</t>
        </is>
      </c>
      <c r="C6" s="18" t="inlineStr">
        <is>
          <t>R</t>
        </is>
      </c>
      <c r="D6" s="18" t="inlineStr">
        <is>
          <t>G</t>
        </is>
      </c>
      <c r="E6" s="18" t="inlineStr">
        <is>
          <t>B</t>
        </is>
      </c>
      <c r="F6" s="18" t="inlineStr">
        <is>
          <t>Luminanz</t>
        </is>
      </c>
      <c r="G6" s="18" t="inlineStr">
        <is>
          <t>Rolle</t>
        </is>
      </c>
    </row>
    <row r="7">
      <c r="A7" s="11" t="inlineStr">
        <is>
          <t>danger (neu)</t>
        </is>
      </c>
      <c r="B7" s="11" t="inlineStr">
        <is>
          <t>D97868</t>
        </is>
      </c>
      <c r="C7" s="11">
        <f>HEX2DEC(LEFT(B7,2))</f>
        <v/>
      </c>
      <c r="D7" s="11">
        <f>HEX2DEC(MID(B7,3,2))</f>
        <v/>
      </c>
      <c r="E7" s="11">
        <f>HEX2DEC(RIGHT(B7,2))</f>
        <v/>
      </c>
      <c r="F7" s="26">
        <f>0.2126*IF(C7/255&lt;=0.04045,C7/255/12.92,((C7/255+0.055)/1.055)^2.4)+0.7152*IF(D7/255&lt;=0.04045,D7/255/12.92,((D7/255+0.055)/1.055)^2.4)+0.0722*IF(E7/255&lt;=0.04045,E7/255/12.92,((E7/255+0.055)/1.055)^2.4)</f>
        <v/>
      </c>
      <c r="G7" s="11" t="inlineStr">
        <is>
          <t>Vordergrund</t>
        </is>
      </c>
    </row>
    <row r="8">
      <c r="A8" s="11" t="inlineStr">
        <is>
          <t>danger (alt, Vergleich)</t>
        </is>
      </c>
      <c r="B8" s="11" t="inlineStr">
        <is>
          <t>C45C4A</t>
        </is>
      </c>
      <c r="C8" s="11">
        <f>HEX2DEC(LEFT(B8,2))</f>
        <v/>
      </c>
      <c r="D8" s="11">
        <f>HEX2DEC(MID(B8,3,2))</f>
        <v/>
      </c>
      <c r="E8" s="11">
        <f>HEX2DEC(RIGHT(B8,2))</f>
        <v/>
      </c>
      <c r="F8" s="26">
        <f>0.2126*IF(C8/255&lt;=0.04045,C8/255/12.92,((C8/255+0.055)/1.055)^2.4)+0.7152*IF(D8/255&lt;=0.04045,D8/255/12.92,((D8/255+0.055)/1.055)^2.4)+0.0722*IF(E8/255&lt;=0.04045,E8/255/12.92,((E8/255+0.055)/1.055)^2.4)</f>
        <v/>
      </c>
      <c r="G8" s="11" t="inlineStr">
        <is>
          <t>Referenz alt</t>
        </is>
      </c>
    </row>
    <row r="9">
      <c r="A9" s="11" t="inlineStr">
        <is>
          <t>fg</t>
        </is>
      </c>
      <c r="B9" s="11" t="inlineStr">
        <is>
          <t>F4EFE6</t>
        </is>
      </c>
      <c r="C9" s="11">
        <f>HEX2DEC(LEFT(B9,2))</f>
        <v/>
      </c>
      <c r="D9" s="11">
        <f>HEX2DEC(MID(B9,3,2))</f>
        <v/>
      </c>
      <c r="E9" s="11">
        <f>HEX2DEC(RIGHT(B9,2))</f>
        <v/>
      </c>
      <c r="F9" s="26">
        <f>0.2126*IF(C9/255&lt;=0.04045,C9/255/12.92,((C9/255+0.055)/1.055)^2.4)+0.7152*IF(D9/255&lt;=0.04045,D9/255/12.92,((D9/255+0.055)/1.055)^2.4)+0.0722*IF(E9/255&lt;=0.04045,E9/255/12.92,((E9/255+0.055)/1.055)^2.4)</f>
        <v/>
      </c>
      <c r="G9" s="11" t="inlineStr">
        <is>
          <t>Vordergrund</t>
        </is>
      </c>
    </row>
    <row r="10">
      <c r="A10" s="11" t="inlineStr">
        <is>
          <t>muted</t>
        </is>
      </c>
      <c r="B10" s="11" t="inlineStr">
        <is>
          <t>C4BDB3</t>
        </is>
      </c>
      <c r="C10" s="11">
        <f>HEX2DEC(LEFT(B10,2))</f>
        <v/>
      </c>
      <c r="D10" s="11">
        <f>HEX2DEC(MID(B10,3,2))</f>
        <v/>
      </c>
      <c r="E10" s="11">
        <f>HEX2DEC(RIGHT(B10,2))</f>
        <v/>
      </c>
      <c r="F10" s="26">
        <f>0.2126*IF(C10/255&lt;=0.04045,C10/255/12.92,((C10/255+0.055)/1.055)^2.4)+0.7152*IF(D10/255&lt;=0.04045,D10/255/12.92,((D10/255+0.055)/1.055)^2.4)+0.0722*IF(E10/255&lt;=0.04045,E10/255/12.92,((E10/255+0.055)/1.055)^2.4)</f>
        <v/>
      </c>
      <c r="G10" s="11" t="inlineStr">
        <is>
          <t>Vordergrund</t>
        </is>
      </c>
    </row>
    <row r="11">
      <c r="A11" s="11" t="inlineStr">
        <is>
          <t>subtle</t>
        </is>
      </c>
      <c r="B11" s="11" t="inlineStr">
        <is>
          <t>9A948A</t>
        </is>
      </c>
      <c r="C11" s="11">
        <f>HEX2DEC(LEFT(B11,2))</f>
        <v/>
      </c>
      <c r="D11" s="11">
        <f>HEX2DEC(MID(B11,3,2))</f>
        <v/>
      </c>
      <c r="E11" s="11">
        <f>HEX2DEC(RIGHT(B11,2))</f>
        <v/>
      </c>
      <c r="F11" s="26">
        <f>0.2126*IF(C11/255&lt;=0.04045,C11/255/12.92,((C11/255+0.055)/1.055)^2.4)+0.7152*IF(D11/255&lt;=0.04045,D11/255/12.92,((D11/255+0.055)/1.055)^2.4)+0.0722*IF(E11/255&lt;=0.04045,E11/255/12.92,((E11/255+0.055)/1.055)^2.4)</f>
        <v/>
      </c>
      <c r="G11" s="11" t="inlineStr">
        <is>
          <t>Vordergrund</t>
        </is>
      </c>
    </row>
    <row r="12">
      <c r="A12" s="11" t="inlineStr">
        <is>
          <t>bg</t>
        </is>
      </c>
      <c r="B12" s="11" t="inlineStr">
        <is>
          <t>0C0C0D</t>
        </is>
      </c>
      <c r="C12" s="11">
        <f>HEX2DEC(LEFT(B12,2))</f>
        <v/>
      </c>
      <c r="D12" s="11">
        <f>HEX2DEC(MID(B12,3,2))</f>
        <v/>
      </c>
      <c r="E12" s="11">
        <f>HEX2DEC(RIGHT(B12,2))</f>
        <v/>
      </c>
      <c r="F12" s="26">
        <f>0.2126*IF(C12/255&lt;=0.04045,C12/255/12.92,((C12/255+0.055)/1.055)^2.4)+0.7152*IF(D12/255&lt;=0.04045,D12/255/12.92,((D12/255+0.055)/1.055)^2.4)+0.0722*IF(E12/255&lt;=0.04045,E12/255/12.92,((E12/255+0.055)/1.055)^2.4)</f>
        <v/>
      </c>
      <c r="G12" s="11" t="inlineStr">
        <is>
          <t>Hintergrund</t>
        </is>
      </c>
    </row>
    <row r="13">
      <c r="A13" s="11" t="inlineStr">
        <is>
          <t>surface</t>
        </is>
      </c>
      <c r="B13" s="11" t="inlineStr">
        <is>
          <t>141416</t>
        </is>
      </c>
      <c r="C13" s="11">
        <f>HEX2DEC(LEFT(B13,2))</f>
        <v/>
      </c>
      <c r="D13" s="11">
        <f>HEX2DEC(MID(B13,3,2))</f>
        <v/>
      </c>
      <c r="E13" s="11">
        <f>HEX2DEC(RIGHT(B13,2))</f>
        <v/>
      </c>
      <c r="F13" s="26">
        <f>0.2126*IF(C13/255&lt;=0.04045,C13/255/12.92,((C13/255+0.055)/1.055)^2.4)+0.7152*IF(D13/255&lt;=0.04045,D13/255/12.92,((D13/255+0.055)/1.055)^2.4)+0.0722*IF(E13/255&lt;=0.04045,E13/255/12.92,((E13/255+0.055)/1.055)^2.4)</f>
        <v/>
      </c>
      <c r="G13" s="11" t="inlineStr">
        <is>
          <t>Hintergrund</t>
        </is>
      </c>
    </row>
    <row r="14">
      <c r="A14" s="11" t="inlineStr">
        <is>
          <t>elevated</t>
        </is>
      </c>
      <c r="B14" s="11" t="inlineStr">
        <is>
          <t>1C1C20</t>
        </is>
      </c>
      <c r="C14" s="11">
        <f>HEX2DEC(LEFT(B14,2))</f>
        <v/>
      </c>
      <c r="D14" s="11">
        <f>HEX2DEC(MID(B14,3,2))</f>
        <v/>
      </c>
      <c r="E14" s="11">
        <f>HEX2DEC(RIGHT(B14,2))</f>
        <v/>
      </c>
      <c r="F14" s="26">
        <f>0.2126*IF(C14/255&lt;=0.04045,C14/255/12.92,((C14/255+0.055)/1.055)^2.4)+0.7152*IF(D14/255&lt;=0.04045,D14/255/12.92,((D14/255+0.055)/1.055)^2.4)+0.0722*IF(E14/255&lt;=0.04045,E14/255/12.92,((E14/255+0.055)/1.055)^2.4)</f>
        <v/>
      </c>
      <c r="G14" s="11" t="inlineStr">
        <is>
          <t>Hintergrund</t>
        </is>
      </c>
    </row>
    <row r="16">
      <c r="A16" s="18" t="inlineStr">
        <is>
          <t>Vordergrund</t>
        </is>
      </c>
      <c r="B16" s="18" t="inlineStr">
        <is>
          <t>Hex FG</t>
        </is>
      </c>
      <c r="C16" s="18" t="inlineStr">
        <is>
          <t>Hintergrund</t>
        </is>
      </c>
      <c r="D16" s="18" t="inlineStr">
        <is>
          <t>Hex BG</t>
        </is>
      </c>
      <c r="E16" s="18" t="inlineStr">
        <is>
          <t>Kontrast</t>
        </is>
      </c>
      <c r="F16" s="18" t="inlineStr">
        <is>
          <t>AA ≥ Schwelle</t>
        </is>
      </c>
      <c r="G16" s="18" t="inlineStr">
        <is>
          <t>Alt-Kontrast</t>
        </is>
      </c>
    </row>
    <row r="17">
      <c r="A17" s="11" t="inlineStr">
        <is>
          <t>danger neu</t>
        </is>
      </c>
      <c r="B17" s="11" t="inlineStr">
        <is>
          <t>D97868</t>
        </is>
      </c>
      <c r="C17" s="11" t="inlineStr">
        <is>
          <t>bg</t>
        </is>
      </c>
      <c r="D17" s="11" t="inlineStr">
        <is>
          <t>0C0C0D</t>
        </is>
      </c>
      <c r="E17" s="27">
        <f>(MAX(0.2126*IF(HEX2DEC(LEFT(B17,2))/255&lt;=0.04045,HEX2DEC(LEFT(B17,2))/255/12.92,((HEX2DEC(LEFT(B17,2))/255+0.055)/1.055)^2.4)+0.7152*IF(HEX2DEC(MID(B17,3,2))/255&lt;=0.04045,HEX2DEC(MID(B17,3,2))/255/12.92,((HEX2DEC(MID(B17,3,2))/255+0.055)/1.055)^2.4)+0.0722*IF(HEX2DEC(RIGHT(B17,2))/255&lt;=0.04045,HEX2DEC(RIGHT(B17,2))/255/12.92,((HEX2DEC(RIGHT(B17,2))/255+0.055)/1.055)^2.4),0.2126*IF(HEX2DEC(LEFT(D17,2))/255&lt;=0.04045,HEX2DEC(LEFT(D17,2))/255/12.92,((HEX2DEC(LEFT(D17,2))/255+0.055)/1.055)^2.4)+0.7152*IF(HEX2DEC(MID(D17,3,2))/255&lt;=0.04045,HEX2DEC(MID(D17,3,2))/255/12.92,((HEX2DEC(MID(D17,3,2))/255+0.055)/1.055)^2.4)+0.0722*IF(HEX2DEC(RIGHT(D17,2))/255&lt;=0.04045,HEX2DEC(RIGHT(D17,2))/255/12.92,((HEX2DEC(RIGHT(D17,2))/255+0.055)/1.055)^2.4))+0.05)/(MIN(0.2126*IF(HEX2DEC(LEFT(B17,2))/255&lt;=0.04045,HEX2DEC(LEFT(B17,2))/255/12.92,((HEX2DEC(LEFT(B17,2))/255+0.055)/1.055)^2.4)+0.7152*IF(HEX2DEC(MID(B17,3,2))/255&lt;=0.04045,HEX2DEC(MID(B17,3,2))/255/12.92,((HEX2DEC(MID(B17,3,2))/255+0.055)/1.055)^2.4)+0.0722*IF(HEX2DEC(RIGHT(B17,2))/255&lt;=0.04045,HEX2DEC(RIGHT(B17,2))/255/12.92,((HEX2DEC(RIGHT(B17,2))/255+0.055)/1.055)^2.4),0.2126*IF(HEX2DEC(LEFT(D17,2))/255&lt;=0.04045,HEX2DEC(LEFT(D17,2))/255/12.92,((HEX2DEC(LEFT(D17,2))/255+0.055)/1.055)^2.4)+0.7152*IF(HEX2DEC(MID(D17,3,2))/255&lt;=0.04045,HEX2DEC(MID(D17,3,2))/255/12.92,((HEX2DEC(MID(D17,3,2))/255+0.055)/1.055)^2.4)+0.0722*IF(HEX2DEC(RIGHT(D17,2))/255&lt;=0.04045,HEX2DEC(RIGHT(D17,2))/255/12.92,((HEX2DEC(RIGHT(D17,2))/255+0.055)/1.055)^2.4))+0.05)</f>
        <v/>
      </c>
      <c r="F17" s="19">
        <f>IF(E17&gt;=$B$3,"PASS","FAIL")</f>
        <v/>
      </c>
      <c r="G17" s="11" t="inlineStr"/>
    </row>
    <row r="18">
      <c r="A18" s="11" t="inlineStr">
        <is>
          <t>danger neu</t>
        </is>
      </c>
      <c r="B18" s="11" t="inlineStr">
        <is>
          <t>D97868</t>
        </is>
      </c>
      <c r="C18" s="11" t="inlineStr">
        <is>
          <t>surface</t>
        </is>
      </c>
      <c r="D18" s="11" t="inlineStr">
        <is>
          <t>141416</t>
        </is>
      </c>
      <c r="E18" s="27">
        <f>(MAX(0.2126*IF(HEX2DEC(LEFT(B18,2))/255&lt;=0.04045,HEX2DEC(LEFT(B18,2))/255/12.92,((HEX2DEC(LEFT(B18,2))/255+0.055)/1.055)^2.4)+0.7152*IF(HEX2DEC(MID(B18,3,2))/255&lt;=0.04045,HEX2DEC(MID(B18,3,2))/255/12.92,((HEX2DEC(MID(B18,3,2))/255+0.055)/1.055)^2.4)+0.0722*IF(HEX2DEC(RIGHT(B18,2))/255&lt;=0.04045,HEX2DEC(RIGHT(B18,2))/255/12.92,((HEX2DEC(RIGHT(B18,2))/255+0.055)/1.055)^2.4),0.2126*IF(HEX2DEC(LEFT(D18,2))/255&lt;=0.04045,HEX2DEC(LEFT(D18,2))/255/12.92,((HEX2DEC(LEFT(D18,2))/255+0.055)/1.055)^2.4)+0.7152*IF(HEX2DEC(MID(D18,3,2))/255&lt;=0.04045,HEX2DEC(MID(D18,3,2))/255/12.92,((HEX2DEC(MID(D18,3,2))/255+0.055)/1.055)^2.4)+0.0722*IF(HEX2DEC(RIGHT(D18,2))/255&lt;=0.04045,HEX2DEC(RIGHT(D18,2))/255/12.92,((HEX2DEC(RIGHT(D18,2))/255+0.055)/1.055)^2.4))+0.05)/(MIN(0.2126*IF(HEX2DEC(LEFT(B18,2))/255&lt;=0.04045,HEX2DEC(LEFT(B18,2))/255/12.92,((HEX2DEC(LEFT(B18,2))/255+0.055)/1.055)^2.4)+0.7152*IF(HEX2DEC(MID(B18,3,2))/255&lt;=0.04045,HEX2DEC(MID(B18,3,2))/255/12.92,((HEX2DEC(MID(B18,3,2))/255+0.055)/1.055)^2.4)+0.0722*IF(HEX2DEC(RIGHT(B18,2))/255&lt;=0.04045,HEX2DEC(RIGHT(B18,2))/255/12.92,((HEX2DEC(RIGHT(B18,2))/255+0.055)/1.055)^2.4),0.2126*IF(HEX2DEC(LEFT(D18,2))/255&lt;=0.04045,HEX2DEC(LEFT(D18,2))/255/12.92,((HEX2DEC(LEFT(D18,2))/255+0.055)/1.055)^2.4)+0.7152*IF(HEX2DEC(MID(D18,3,2))/255&lt;=0.04045,HEX2DEC(MID(D18,3,2))/255/12.92,((HEX2DEC(MID(D18,3,2))/255+0.055)/1.055)^2.4)+0.0722*IF(HEX2DEC(RIGHT(D18,2))/255&lt;=0.04045,HEX2DEC(RIGHT(D18,2))/255/12.92,((HEX2DEC(RIGHT(D18,2))/255+0.055)/1.055)^2.4))+0.05)</f>
        <v/>
      </c>
      <c r="F18" s="19">
        <f>IF(E18&gt;=$B$3,"PASS","FAIL")</f>
        <v/>
      </c>
      <c r="G18" s="11" t="inlineStr"/>
    </row>
    <row r="19">
      <c r="A19" s="11" t="inlineStr">
        <is>
          <t>danger neu</t>
        </is>
      </c>
      <c r="B19" s="11" t="inlineStr">
        <is>
          <t>D97868</t>
        </is>
      </c>
      <c r="C19" s="11" t="inlineStr">
        <is>
          <t>elevated</t>
        </is>
      </c>
      <c r="D19" s="11" t="inlineStr">
        <is>
          <t>1C1C20</t>
        </is>
      </c>
      <c r="E19" s="27">
        <f>(MAX(0.2126*IF(HEX2DEC(LEFT(B19,2))/255&lt;=0.04045,HEX2DEC(LEFT(B19,2))/255/12.92,((HEX2DEC(LEFT(B19,2))/255+0.055)/1.055)^2.4)+0.7152*IF(HEX2DEC(MID(B19,3,2))/255&lt;=0.04045,HEX2DEC(MID(B19,3,2))/255/12.92,((HEX2DEC(MID(B19,3,2))/255+0.055)/1.055)^2.4)+0.0722*IF(HEX2DEC(RIGHT(B19,2))/255&lt;=0.04045,HEX2DEC(RIGHT(B19,2))/255/12.92,((HEX2DEC(RIGHT(B19,2))/255+0.055)/1.055)^2.4),0.2126*IF(HEX2DEC(LEFT(D19,2))/255&lt;=0.04045,HEX2DEC(LEFT(D19,2))/255/12.92,((HEX2DEC(LEFT(D19,2))/255+0.055)/1.055)^2.4)+0.7152*IF(HEX2DEC(MID(D19,3,2))/255&lt;=0.04045,HEX2DEC(MID(D19,3,2))/255/12.92,((HEX2DEC(MID(D19,3,2))/255+0.055)/1.055)^2.4)+0.0722*IF(HEX2DEC(RIGHT(D19,2))/255&lt;=0.04045,HEX2DEC(RIGHT(D19,2))/255/12.92,((HEX2DEC(RIGHT(D19,2))/255+0.055)/1.055)^2.4))+0.05)/(MIN(0.2126*IF(HEX2DEC(LEFT(B19,2))/255&lt;=0.04045,HEX2DEC(LEFT(B19,2))/255/12.92,((HEX2DEC(LEFT(B19,2))/255+0.055)/1.055)^2.4)+0.7152*IF(HEX2DEC(MID(B19,3,2))/255&lt;=0.04045,HEX2DEC(MID(B19,3,2))/255/12.92,((HEX2DEC(MID(B19,3,2))/255+0.055)/1.055)^2.4)+0.0722*IF(HEX2DEC(RIGHT(B19,2))/255&lt;=0.04045,HEX2DEC(RIGHT(B19,2))/255/12.92,((HEX2DEC(RIGHT(B19,2))/255+0.055)/1.055)^2.4),0.2126*IF(HEX2DEC(LEFT(D19,2))/255&lt;=0.04045,HEX2DEC(LEFT(D19,2))/255/12.92,((HEX2DEC(LEFT(D19,2))/255+0.055)/1.055)^2.4)+0.7152*IF(HEX2DEC(MID(D19,3,2))/255&lt;=0.04045,HEX2DEC(MID(D19,3,2))/255/12.92,((HEX2DEC(MID(D19,3,2))/255+0.055)/1.055)^2.4)+0.0722*IF(HEX2DEC(RIGHT(D19,2))/255&lt;=0.04045,HEX2DEC(RIGHT(D19,2))/255/12.92,((HEX2DEC(RIGHT(D19,2))/255+0.055)/1.055)^2.4))+0.05)</f>
        <v/>
      </c>
      <c r="F19" s="19">
        <f>IF(E19&gt;=$B$3,"PASS","FAIL")</f>
        <v/>
      </c>
      <c r="G19" s="11" t="inlineStr"/>
    </row>
    <row r="20">
      <c r="A20" s="11" t="inlineStr">
        <is>
          <t>fg</t>
        </is>
      </c>
      <c r="B20" s="11" t="inlineStr">
        <is>
          <t>F4EFE6</t>
        </is>
      </c>
      <c r="C20" s="11" t="inlineStr">
        <is>
          <t>bg</t>
        </is>
      </c>
      <c r="D20" s="11" t="inlineStr">
        <is>
          <t>0C0C0D</t>
        </is>
      </c>
      <c r="E20" s="27">
        <f>(MAX(0.2126*IF(HEX2DEC(LEFT(B20,2))/255&lt;=0.04045,HEX2DEC(LEFT(B20,2))/255/12.92,((HEX2DEC(LEFT(B20,2))/255+0.055)/1.055)^2.4)+0.7152*IF(HEX2DEC(MID(B20,3,2))/255&lt;=0.04045,HEX2DEC(MID(B20,3,2))/255/12.92,((HEX2DEC(MID(B20,3,2))/255+0.055)/1.055)^2.4)+0.0722*IF(HEX2DEC(RIGHT(B20,2))/255&lt;=0.04045,HEX2DEC(RIGHT(B20,2))/255/12.92,((HEX2DEC(RIGHT(B20,2))/255+0.055)/1.055)^2.4),0.2126*IF(HEX2DEC(LEFT(D20,2))/255&lt;=0.04045,HEX2DEC(LEFT(D20,2))/255/12.92,((HEX2DEC(LEFT(D20,2))/255+0.055)/1.055)^2.4)+0.7152*IF(HEX2DEC(MID(D20,3,2))/255&lt;=0.04045,HEX2DEC(MID(D20,3,2))/255/12.92,((HEX2DEC(MID(D20,3,2))/255+0.055)/1.055)^2.4)+0.0722*IF(HEX2DEC(RIGHT(D20,2))/255&lt;=0.04045,HEX2DEC(RIGHT(D20,2))/255/12.92,((HEX2DEC(RIGHT(D20,2))/255+0.055)/1.055)^2.4))+0.05)/(MIN(0.2126*IF(HEX2DEC(LEFT(B20,2))/255&lt;=0.04045,HEX2DEC(LEFT(B20,2))/255/12.92,((HEX2DEC(LEFT(B20,2))/255+0.055)/1.055)^2.4)+0.7152*IF(HEX2DEC(MID(B20,3,2))/255&lt;=0.04045,HEX2DEC(MID(B20,3,2))/255/12.92,((HEX2DEC(MID(B20,3,2))/255+0.055)/1.055)^2.4)+0.0722*IF(HEX2DEC(RIGHT(B20,2))/255&lt;=0.04045,HEX2DEC(RIGHT(B20,2))/255/12.92,((HEX2DEC(RIGHT(B20,2))/255+0.055)/1.055)^2.4),0.2126*IF(HEX2DEC(LEFT(D20,2))/255&lt;=0.04045,HEX2DEC(LEFT(D20,2))/255/12.92,((HEX2DEC(LEFT(D20,2))/255+0.055)/1.055)^2.4)+0.7152*IF(HEX2DEC(MID(D20,3,2))/255&lt;=0.04045,HEX2DEC(MID(D20,3,2))/255/12.92,((HEX2DEC(MID(D20,3,2))/255+0.055)/1.055)^2.4)+0.0722*IF(HEX2DEC(RIGHT(D20,2))/255&lt;=0.04045,HEX2DEC(RIGHT(D20,2))/255/12.92,((HEX2DEC(RIGHT(D20,2))/255+0.055)/1.055)^2.4))+0.05)</f>
        <v/>
      </c>
      <c r="F20" s="19">
        <f>IF(E20&gt;=$B$3,"PASS","FAIL")</f>
        <v/>
      </c>
      <c r="G20" s="11" t="inlineStr">
        <is>
          <t>—</t>
        </is>
      </c>
    </row>
    <row r="21">
      <c r="A21" s="11" t="inlineStr">
        <is>
          <t>muted</t>
        </is>
      </c>
      <c r="B21" s="11" t="inlineStr">
        <is>
          <t>C4BDB3</t>
        </is>
      </c>
      <c r="C21" s="11" t="inlineStr">
        <is>
          <t>bg</t>
        </is>
      </c>
      <c r="D21" s="11" t="inlineStr">
        <is>
          <t>0C0C0D</t>
        </is>
      </c>
      <c r="E21" s="27">
        <f>(MAX(0.2126*IF(HEX2DEC(LEFT(B21,2))/255&lt;=0.04045,HEX2DEC(LEFT(B21,2))/255/12.92,((HEX2DEC(LEFT(B21,2))/255+0.055)/1.055)^2.4)+0.7152*IF(HEX2DEC(MID(B21,3,2))/255&lt;=0.04045,HEX2DEC(MID(B21,3,2))/255/12.92,((HEX2DEC(MID(B21,3,2))/255+0.055)/1.055)^2.4)+0.0722*IF(HEX2DEC(RIGHT(B21,2))/255&lt;=0.04045,HEX2DEC(RIGHT(B21,2))/255/12.92,((HEX2DEC(RIGHT(B21,2))/255+0.055)/1.055)^2.4),0.2126*IF(HEX2DEC(LEFT(D21,2))/255&lt;=0.04045,HEX2DEC(LEFT(D21,2))/255/12.92,((HEX2DEC(LEFT(D21,2))/255+0.055)/1.055)^2.4)+0.7152*IF(HEX2DEC(MID(D21,3,2))/255&lt;=0.04045,HEX2DEC(MID(D21,3,2))/255/12.92,((HEX2DEC(MID(D21,3,2))/255+0.055)/1.055)^2.4)+0.0722*IF(HEX2DEC(RIGHT(D21,2))/255&lt;=0.04045,HEX2DEC(RIGHT(D21,2))/255/12.92,((HEX2DEC(RIGHT(D21,2))/255+0.055)/1.055)^2.4))+0.05)/(MIN(0.2126*IF(HEX2DEC(LEFT(B21,2))/255&lt;=0.04045,HEX2DEC(LEFT(B21,2))/255/12.92,((HEX2DEC(LEFT(B21,2))/255+0.055)/1.055)^2.4)+0.7152*IF(HEX2DEC(MID(B21,3,2))/255&lt;=0.04045,HEX2DEC(MID(B21,3,2))/255/12.92,((HEX2DEC(MID(B21,3,2))/255+0.055)/1.055)^2.4)+0.0722*IF(HEX2DEC(RIGHT(B21,2))/255&lt;=0.04045,HEX2DEC(RIGHT(B21,2))/255/12.92,((HEX2DEC(RIGHT(B21,2))/255+0.055)/1.055)^2.4),0.2126*IF(HEX2DEC(LEFT(D21,2))/255&lt;=0.04045,HEX2DEC(LEFT(D21,2))/255/12.92,((HEX2DEC(LEFT(D21,2))/255+0.055)/1.055)^2.4)+0.7152*IF(HEX2DEC(MID(D21,3,2))/255&lt;=0.04045,HEX2DEC(MID(D21,3,2))/255/12.92,((HEX2DEC(MID(D21,3,2))/255+0.055)/1.055)^2.4)+0.0722*IF(HEX2DEC(RIGHT(D21,2))/255&lt;=0.04045,HEX2DEC(RIGHT(D21,2))/255/12.92,((HEX2DEC(RIGHT(D21,2))/255+0.055)/1.055)^2.4))+0.05)</f>
        <v/>
      </c>
      <c r="F21" s="19">
        <f>IF(E21&gt;=$B$3,"PASS","FAIL")</f>
        <v/>
      </c>
      <c r="G21" s="11" t="inlineStr">
        <is>
          <t>—</t>
        </is>
      </c>
    </row>
    <row r="22">
      <c r="A22" s="11" t="inlineStr">
        <is>
          <t>subtle</t>
        </is>
      </c>
      <c r="B22" s="11" t="inlineStr">
        <is>
          <t>9A948A</t>
        </is>
      </c>
      <c r="C22" s="11" t="inlineStr">
        <is>
          <t>bg</t>
        </is>
      </c>
      <c r="D22" s="11" t="inlineStr">
        <is>
          <t>0C0C0D</t>
        </is>
      </c>
      <c r="E22" s="27">
        <f>(MAX(0.2126*IF(HEX2DEC(LEFT(B22,2))/255&lt;=0.04045,HEX2DEC(LEFT(B22,2))/255/12.92,((HEX2DEC(LEFT(B22,2))/255+0.055)/1.055)^2.4)+0.7152*IF(HEX2DEC(MID(B22,3,2))/255&lt;=0.04045,HEX2DEC(MID(B22,3,2))/255/12.92,((HEX2DEC(MID(B22,3,2))/255+0.055)/1.055)^2.4)+0.0722*IF(HEX2DEC(RIGHT(B22,2))/255&lt;=0.04045,HEX2DEC(RIGHT(B22,2))/255/12.92,((HEX2DEC(RIGHT(B22,2))/255+0.055)/1.055)^2.4),0.2126*IF(HEX2DEC(LEFT(D22,2))/255&lt;=0.04045,HEX2DEC(LEFT(D22,2))/255/12.92,((HEX2DEC(LEFT(D22,2))/255+0.055)/1.055)^2.4)+0.7152*IF(HEX2DEC(MID(D22,3,2))/255&lt;=0.04045,HEX2DEC(MID(D22,3,2))/255/12.92,((HEX2DEC(MID(D22,3,2))/255+0.055)/1.055)^2.4)+0.0722*IF(HEX2DEC(RIGHT(D22,2))/255&lt;=0.04045,HEX2DEC(RIGHT(D22,2))/255/12.92,((HEX2DEC(RIGHT(D22,2))/255+0.055)/1.055)^2.4))+0.05)/(MIN(0.2126*IF(HEX2DEC(LEFT(B22,2))/255&lt;=0.04045,HEX2DEC(LEFT(B22,2))/255/12.92,((HEX2DEC(LEFT(B22,2))/255+0.055)/1.055)^2.4)+0.7152*IF(HEX2DEC(MID(B22,3,2))/255&lt;=0.04045,HEX2DEC(MID(B22,3,2))/255/12.92,((HEX2DEC(MID(B22,3,2))/255+0.055)/1.055)^2.4)+0.0722*IF(HEX2DEC(RIGHT(B22,2))/255&lt;=0.04045,HEX2DEC(RIGHT(B22,2))/255/12.92,((HEX2DEC(RIGHT(B22,2))/255+0.055)/1.055)^2.4),0.2126*IF(HEX2DEC(LEFT(D22,2))/255&lt;=0.04045,HEX2DEC(LEFT(D22,2))/255/12.92,((HEX2DEC(LEFT(D22,2))/255+0.055)/1.055)^2.4)+0.7152*IF(HEX2DEC(MID(D22,3,2))/255&lt;=0.04045,HEX2DEC(MID(D22,3,2))/255/12.92,((HEX2DEC(MID(D22,3,2))/255+0.055)/1.055)^2.4)+0.0722*IF(HEX2DEC(RIGHT(D22,2))/255&lt;=0.04045,HEX2DEC(RIGHT(D22,2))/255/12.92,((HEX2DEC(RIGHT(D22,2))/255+0.055)/1.055)^2.4))+0.05)</f>
        <v/>
      </c>
      <c r="F22" s="19">
        <f>IF(E22&gt;=$B$3,"PASS","FAIL")</f>
        <v/>
      </c>
      <c r="G22" s="11" t="inlineStr">
        <is>
          <t>—</t>
        </is>
      </c>
    </row>
    <row r="23">
      <c r="A23" s="11" t="inlineStr">
        <is>
          <t>muted</t>
        </is>
      </c>
      <c r="B23" s="11" t="inlineStr">
        <is>
          <t>C4BDB3</t>
        </is>
      </c>
      <c r="C23" s="11" t="inlineStr">
        <is>
          <t>surface</t>
        </is>
      </c>
      <c r="D23" s="11" t="inlineStr">
        <is>
          <t>141416</t>
        </is>
      </c>
      <c r="E23" s="27">
        <f>(MAX(0.2126*IF(HEX2DEC(LEFT(B23,2))/255&lt;=0.04045,HEX2DEC(LEFT(B23,2))/255/12.92,((HEX2DEC(LEFT(B23,2))/255+0.055)/1.055)^2.4)+0.7152*IF(HEX2DEC(MID(B23,3,2))/255&lt;=0.04045,HEX2DEC(MID(B23,3,2))/255/12.92,((HEX2DEC(MID(B23,3,2))/255+0.055)/1.055)^2.4)+0.0722*IF(HEX2DEC(RIGHT(B23,2))/255&lt;=0.04045,HEX2DEC(RIGHT(B23,2))/255/12.92,((HEX2DEC(RIGHT(B23,2))/255+0.055)/1.055)^2.4),0.2126*IF(HEX2DEC(LEFT(D23,2))/255&lt;=0.04045,HEX2DEC(LEFT(D23,2))/255/12.92,((HEX2DEC(LEFT(D23,2))/255+0.055)/1.055)^2.4)+0.7152*IF(HEX2DEC(MID(D23,3,2))/255&lt;=0.04045,HEX2DEC(MID(D23,3,2))/255/12.92,((HEX2DEC(MID(D23,3,2))/255+0.055)/1.055)^2.4)+0.0722*IF(HEX2DEC(RIGHT(D23,2))/255&lt;=0.04045,HEX2DEC(RIGHT(D23,2))/255/12.92,((HEX2DEC(RIGHT(D23,2))/255+0.055)/1.055)^2.4))+0.05)/(MIN(0.2126*IF(HEX2DEC(LEFT(B23,2))/255&lt;=0.04045,HEX2DEC(LEFT(B23,2))/255/12.92,((HEX2DEC(LEFT(B23,2))/255+0.055)/1.055)^2.4)+0.7152*IF(HEX2DEC(MID(B23,3,2))/255&lt;=0.04045,HEX2DEC(MID(B23,3,2))/255/12.92,((HEX2DEC(MID(B23,3,2))/255+0.055)/1.055)^2.4)+0.0722*IF(HEX2DEC(RIGHT(B23,2))/255&lt;=0.04045,HEX2DEC(RIGHT(B23,2))/255/12.92,((HEX2DEC(RIGHT(B23,2))/255+0.055)/1.055)^2.4),0.2126*IF(HEX2DEC(LEFT(D23,2))/255&lt;=0.04045,HEX2DEC(LEFT(D23,2))/255/12.92,((HEX2DEC(LEFT(D23,2))/255+0.055)/1.055)^2.4)+0.7152*IF(HEX2DEC(MID(D23,3,2))/255&lt;=0.04045,HEX2DEC(MID(D23,3,2))/255/12.92,((HEX2DEC(MID(D23,3,2))/255+0.055)/1.055)^2.4)+0.0722*IF(HEX2DEC(RIGHT(D23,2))/255&lt;=0.04045,HEX2DEC(RIGHT(D23,2))/255/12.92,((HEX2DEC(RIGHT(D23,2))/255+0.055)/1.055)^2.4))+0.05)</f>
        <v/>
      </c>
      <c r="F23" s="19">
        <f>IF(E23&gt;=$B$3,"PASS","FAIL")</f>
        <v/>
      </c>
      <c r="G23" s="11" t="inlineStr">
        <is>
          <t>—</t>
        </is>
      </c>
    </row>
    <row r="24">
      <c r="A24" s="11" t="inlineStr">
        <is>
          <t>subtle</t>
        </is>
      </c>
      <c r="B24" s="11" t="inlineStr">
        <is>
          <t>9A948A</t>
        </is>
      </c>
      <c r="C24" s="11" t="inlineStr">
        <is>
          <t>surface</t>
        </is>
      </c>
      <c r="D24" s="11" t="inlineStr">
        <is>
          <t>141416</t>
        </is>
      </c>
      <c r="E24" s="27">
        <f>(MAX(0.2126*IF(HEX2DEC(LEFT(B24,2))/255&lt;=0.04045,HEX2DEC(LEFT(B24,2))/255/12.92,((HEX2DEC(LEFT(B24,2))/255+0.055)/1.055)^2.4)+0.7152*IF(HEX2DEC(MID(B24,3,2))/255&lt;=0.04045,HEX2DEC(MID(B24,3,2))/255/12.92,((HEX2DEC(MID(B24,3,2))/255+0.055)/1.055)^2.4)+0.0722*IF(HEX2DEC(RIGHT(B24,2))/255&lt;=0.04045,HEX2DEC(RIGHT(B24,2))/255/12.92,((HEX2DEC(RIGHT(B24,2))/255+0.055)/1.055)^2.4),0.2126*IF(HEX2DEC(LEFT(D24,2))/255&lt;=0.04045,HEX2DEC(LEFT(D24,2))/255/12.92,((HEX2DEC(LEFT(D24,2))/255+0.055)/1.055)^2.4)+0.7152*IF(HEX2DEC(MID(D24,3,2))/255&lt;=0.04045,HEX2DEC(MID(D24,3,2))/255/12.92,((HEX2DEC(MID(D24,3,2))/255+0.055)/1.055)^2.4)+0.0722*IF(HEX2DEC(RIGHT(D24,2))/255&lt;=0.04045,HEX2DEC(RIGHT(D24,2))/255/12.92,((HEX2DEC(RIGHT(D24,2))/255+0.055)/1.055)^2.4))+0.05)/(MIN(0.2126*IF(HEX2DEC(LEFT(B24,2))/255&lt;=0.04045,HEX2DEC(LEFT(B24,2))/255/12.92,((HEX2DEC(LEFT(B24,2))/255+0.055)/1.055)^2.4)+0.7152*IF(HEX2DEC(MID(B24,3,2))/255&lt;=0.04045,HEX2DEC(MID(B24,3,2))/255/12.92,((HEX2DEC(MID(B24,3,2))/255+0.055)/1.055)^2.4)+0.0722*IF(HEX2DEC(RIGHT(B24,2))/255&lt;=0.04045,HEX2DEC(RIGHT(B24,2))/255/12.92,((HEX2DEC(RIGHT(B24,2))/255+0.055)/1.055)^2.4),0.2126*IF(HEX2DEC(LEFT(D24,2))/255&lt;=0.04045,HEX2DEC(LEFT(D24,2))/255/12.92,((HEX2DEC(LEFT(D24,2))/255+0.055)/1.055)^2.4)+0.7152*IF(HEX2DEC(MID(D24,3,2))/255&lt;=0.04045,HEX2DEC(MID(D24,3,2))/255/12.92,((HEX2DEC(MID(D24,3,2))/255+0.055)/1.055)^2.4)+0.0722*IF(HEX2DEC(RIGHT(D24,2))/255&lt;=0.04045,HEX2DEC(RIGHT(D24,2))/255/12.92,((HEX2DEC(RIGHT(D24,2))/255+0.055)/1.055)^2.4))+0.05)</f>
        <v/>
      </c>
      <c r="F24" s="19">
        <f>IF(E24&gt;=$B$3,"PASS","FAIL")</f>
        <v/>
      </c>
      <c r="G24" s="11" t="inlineStr">
        <is>
          <t>—</t>
        </is>
      </c>
    </row>
    <row r="25">
      <c r="A25" s="11" t="inlineStr">
        <is>
          <t>muted</t>
        </is>
      </c>
      <c r="B25" s="11" t="inlineStr">
        <is>
          <t>C4BDB3</t>
        </is>
      </c>
      <c r="C25" s="11" t="inlineStr">
        <is>
          <t>elevated</t>
        </is>
      </c>
      <c r="D25" s="11" t="inlineStr">
        <is>
          <t>1C1C20</t>
        </is>
      </c>
      <c r="E25" s="27">
        <f>(MAX(0.2126*IF(HEX2DEC(LEFT(B25,2))/255&lt;=0.04045,HEX2DEC(LEFT(B25,2))/255/12.92,((HEX2DEC(LEFT(B25,2))/255+0.055)/1.055)^2.4)+0.7152*IF(HEX2DEC(MID(B25,3,2))/255&lt;=0.04045,HEX2DEC(MID(B25,3,2))/255/12.92,((HEX2DEC(MID(B25,3,2))/255+0.055)/1.055)^2.4)+0.0722*IF(HEX2DEC(RIGHT(B25,2))/255&lt;=0.04045,HEX2DEC(RIGHT(B25,2))/255/12.92,((HEX2DEC(RIGHT(B25,2))/255+0.055)/1.055)^2.4),0.2126*IF(HEX2DEC(LEFT(D25,2))/255&lt;=0.04045,HEX2DEC(LEFT(D25,2))/255/12.92,((HEX2DEC(LEFT(D25,2))/255+0.055)/1.055)^2.4)+0.7152*IF(HEX2DEC(MID(D25,3,2))/255&lt;=0.04045,HEX2DEC(MID(D25,3,2))/255/12.92,((HEX2DEC(MID(D25,3,2))/255+0.055)/1.055)^2.4)+0.0722*IF(HEX2DEC(RIGHT(D25,2))/255&lt;=0.04045,HEX2DEC(RIGHT(D25,2))/255/12.92,((HEX2DEC(RIGHT(D25,2))/255+0.055)/1.055)^2.4))+0.05)/(MIN(0.2126*IF(HEX2DEC(LEFT(B25,2))/255&lt;=0.04045,HEX2DEC(LEFT(B25,2))/255/12.92,((HEX2DEC(LEFT(B25,2))/255+0.055)/1.055)^2.4)+0.7152*IF(HEX2DEC(MID(B25,3,2))/255&lt;=0.04045,HEX2DEC(MID(B25,3,2))/255/12.92,((HEX2DEC(MID(B25,3,2))/255+0.055)/1.055)^2.4)+0.0722*IF(HEX2DEC(RIGHT(B25,2))/255&lt;=0.04045,HEX2DEC(RIGHT(B25,2))/255/12.92,((HEX2DEC(RIGHT(B25,2))/255+0.055)/1.055)^2.4),0.2126*IF(HEX2DEC(LEFT(D25,2))/255&lt;=0.04045,HEX2DEC(LEFT(D25,2))/255/12.92,((HEX2DEC(LEFT(D25,2))/255+0.055)/1.055)^2.4)+0.7152*IF(HEX2DEC(MID(D25,3,2))/255&lt;=0.04045,HEX2DEC(MID(D25,3,2))/255/12.92,((HEX2DEC(MID(D25,3,2))/255+0.055)/1.055)^2.4)+0.0722*IF(HEX2DEC(RIGHT(D25,2))/255&lt;=0.04045,HEX2DEC(RIGHT(D25,2))/255/12.92,((HEX2DEC(RIGHT(D25,2))/255+0.055)/1.055)^2.4))+0.05)</f>
        <v/>
      </c>
      <c r="F25" s="19">
        <f>IF(E25&gt;=$B$3,"PASS","FAIL")</f>
        <v/>
      </c>
      <c r="G25" s="11" t="inlineStr">
        <is>
          <t>—</t>
        </is>
      </c>
    </row>
    <row r="26">
      <c r="A26" s="11" t="inlineStr">
        <is>
          <t>subtle</t>
        </is>
      </c>
      <c r="B26" s="11" t="inlineStr">
        <is>
          <t>9A948A</t>
        </is>
      </c>
      <c r="C26" s="11" t="inlineStr">
        <is>
          <t>elevated</t>
        </is>
      </c>
      <c r="D26" s="11" t="inlineStr">
        <is>
          <t>1C1C20</t>
        </is>
      </c>
      <c r="E26" s="27">
        <f>(MAX(0.2126*IF(HEX2DEC(LEFT(B26,2))/255&lt;=0.04045,HEX2DEC(LEFT(B26,2))/255/12.92,((HEX2DEC(LEFT(B26,2))/255+0.055)/1.055)^2.4)+0.7152*IF(HEX2DEC(MID(B26,3,2))/255&lt;=0.04045,HEX2DEC(MID(B26,3,2))/255/12.92,((HEX2DEC(MID(B26,3,2))/255+0.055)/1.055)^2.4)+0.0722*IF(HEX2DEC(RIGHT(B26,2))/255&lt;=0.04045,HEX2DEC(RIGHT(B26,2))/255/12.92,((HEX2DEC(RIGHT(B26,2))/255+0.055)/1.055)^2.4),0.2126*IF(HEX2DEC(LEFT(D26,2))/255&lt;=0.04045,HEX2DEC(LEFT(D26,2))/255/12.92,((HEX2DEC(LEFT(D26,2))/255+0.055)/1.055)^2.4)+0.7152*IF(HEX2DEC(MID(D26,3,2))/255&lt;=0.04045,HEX2DEC(MID(D26,3,2))/255/12.92,((HEX2DEC(MID(D26,3,2))/255+0.055)/1.055)^2.4)+0.0722*IF(HEX2DEC(RIGHT(D26,2))/255&lt;=0.04045,HEX2DEC(RIGHT(D26,2))/255/12.92,((HEX2DEC(RIGHT(D26,2))/255+0.055)/1.055)^2.4))+0.05)/(MIN(0.2126*IF(HEX2DEC(LEFT(B26,2))/255&lt;=0.04045,HEX2DEC(LEFT(B26,2))/255/12.92,((HEX2DEC(LEFT(B26,2))/255+0.055)/1.055)^2.4)+0.7152*IF(HEX2DEC(MID(B26,3,2))/255&lt;=0.04045,HEX2DEC(MID(B26,3,2))/255/12.92,((HEX2DEC(MID(B26,3,2))/255+0.055)/1.055)^2.4)+0.0722*IF(HEX2DEC(RIGHT(B26,2))/255&lt;=0.04045,HEX2DEC(RIGHT(B26,2))/255/12.92,((HEX2DEC(RIGHT(B26,2))/255+0.055)/1.055)^2.4),0.2126*IF(HEX2DEC(LEFT(D26,2))/255&lt;=0.04045,HEX2DEC(LEFT(D26,2))/255/12.92,((HEX2DEC(LEFT(D26,2))/255+0.055)/1.055)^2.4)+0.7152*IF(HEX2DEC(MID(D26,3,2))/255&lt;=0.04045,HEX2DEC(MID(D26,3,2))/255/12.92,((HEX2DEC(MID(D26,3,2))/255+0.055)/1.055)^2.4)+0.0722*IF(HEX2DEC(RIGHT(D26,2))/255&lt;=0.04045,HEX2DEC(RIGHT(D26,2))/255/12.92,((HEX2DEC(RIGHT(D26,2))/255+0.055)/1.055)^2.4))+0.05)</f>
        <v/>
      </c>
      <c r="F26" s="19">
        <f>IF(E26&gt;=$B$3,"PASS","FAIL")</f>
        <v/>
      </c>
      <c r="G26" s="11" t="inlineStr">
        <is>
          <t>—</t>
        </is>
      </c>
    </row>
    <row r="28">
      <c r="A28" t="inlineStr">
        <is>
          <t>Paare bestanden</t>
        </is>
      </c>
      <c r="B28">
        <f>COUNTIF(F17:F26,"PASS")</f>
        <v/>
      </c>
    </row>
    <row r="29">
      <c r="A29" t="inlineStr">
        <is>
          <t>Paare gesamt</t>
        </is>
      </c>
      <c r="B29">
        <f>COUNTA(F17:F26)</f>
        <v/>
      </c>
    </row>
    <row r="30">
      <c r="A30" t="inlineStr">
        <is>
          <t>Quote AA</t>
        </is>
      </c>
      <c r="B30" s="28">
        <f>IF(B29=0,0,B28/B29)</f>
        <v/>
      </c>
    </row>
  </sheetData>
  <mergeCells count="2">
    <mergeCell ref="A4:G4"/>
    <mergeCell ref="A1:G2"/>
  </mergeCells>
  <conditionalFormatting sqref="F17:F26">
    <cfRule type="expression" priority="1" dxfId="0">
      <formula>F17="PASS"</formula>
    </cfRule>
    <cfRule type="expression" priority="2" dxfId="1">
      <formula>F17="FAIL"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7280"/>
    <outlinePr summaryBelow="1" summaryRight="1"/>
    <pageSetUpPr/>
  </sheetPr>
  <dimension ref="A1:E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42" customWidth="1" min="3" max="3"/>
    <col width="12" customWidth="1" min="4" max="4"/>
    <col width="28" customWidth="1" min="5" max="5"/>
  </cols>
  <sheetData>
    <row r="1">
      <c r="A1" s="1" t="inlineStr">
        <is>
          <t>Nachzug — geänderte Dateien, ohne .env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5">
      <c r="A5" s="18" t="inlineStr">
        <is>
          <t>Pfad</t>
        </is>
      </c>
      <c r="B5" s="18" t="inlineStr">
        <is>
          <t>Art</t>
        </is>
      </c>
      <c r="C5" s="18" t="inlineStr">
        <is>
          <t>Rolle im Audit</t>
        </is>
      </c>
      <c r="D5" s="18" t="inlineStr">
        <is>
          <t>Im Commit</t>
        </is>
      </c>
      <c r="E5" s="18" t="inlineStr">
        <is>
          <t>Bemerkung</t>
        </is>
      </c>
    </row>
    <row r="6">
      <c r="A6" s="20" t="inlineStr">
        <is>
          <t>.github/workflows/lighthouse-audit.yml</t>
        </is>
      </c>
      <c r="B6" s="20" t="inlineStr">
        <is>
          <t>CI</t>
        </is>
      </c>
      <c r="C6" s="20" t="inlineStr">
        <is>
          <t>server/** in path filter</t>
        </is>
      </c>
      <c r="D6" s="20" t="inlineStr">
        <is>
          <t>ja</t>
        </is>
      </c>
      <c r="E6" s="20" t="inlineStr"/>
    </row>
    <row r="7">
      <c r="A7" s="22" t="inlineStr">
        <is>
          <t>package.json</t>
        </is>
      </c>
      <c r="B7" s="22" t="inlineStr">
        <is>
          <t>Build</t>
        </is>
      </c>
      <c r="C7" s="22" t="inlineStr">
        <is>
          <t>operator.test im test-Script</t>
        </is>
      </c>
      <c r="D7" s="22" t="inlineStr">
        <is>
          <t>ja</t>
        </is>
      </c>
      <c r="E7" s="22" t="inlineStr"/>
    </row>
    <row r="8">
      <c r="A8" s="20" t="inlineStr">
        <is>
          <t>scripts/smoke-production.mjs</t>
        </is>
      </c>
      <c r="B8" s="20" t="inlineStr">
        <is>
          <t>QA</t>
        </is>
      </c>
      <c r="C8" s="20" t="inlineStr">
        <is>
          <t>10 km 20, Preise, Signup-Verbot</t>
        </is>
      </c>
      <c r="D8" s="20" t="inlineStr">
        <is>
          <t>ja</t>
        </is>
      </c>
      <c r="E8" s="20" t="inlineStr"/>
    </row>
    <row r="9">
      <c r="A9" s="22" t="inlineStr">
        <is>
          <t>scripts/build-audit-xlsx.py</t>
        </is>
      </c>
      <c r="B9" s="22" t="inlineStr">
        <is>
          <t>QA</t>
        </is>
      </c>
      <c r="C9" s="22" t="inlineStr">
        <is>
          <t>dieser Bericht</t>
        </is>
      </c>
      <c r="D9" s="22" t="inlineStr">
        <is>
          <t>ja</t>
        </is>
      </c>
      <c r="E9" s="22" t="inlineStr"/>
    </row>
    <row r="10">
      <c r="A10" s="20" t="inlineStr">
        <is>
          <t>server/security-headers.ts</t>
        </is>
      </c>
      <c r="B10" s="20" t="inlineStr">
        <is>
          <t>Security</t>
        </is>
      </c>
      <c r="C10" s="20" t="inlineStr">
        <is>
          <t>grok.com + dns-prefetch off</t>
        </is>
      </c>
      <c r="D10" s="20" t="inlineStr">
        <is>
          <t>ja</t>
        </is>
      </c>
      <c r="E10" s="20" t="inlineStr"/>
    </row>
    <row r="11">
      <c r="A11" s="22" t="inlineStr">
        <is>
          <t>src/lib/operator.ts</t>
        </is>
      </c>
      <c r="B11" s="22" t="inlineStr">
        <is>
          <t>Authz</t>
        </is>
      </c>
      <c r="C11" s="22" t="inlineStr">
        <is>
          <t>Allowlist + Enforce</t>
        </is>
      </c>
      <c r="D11" s="22" t="inlineStr">
        <is>
          <t>ja</t>
        </is>
      </c>
      <c r="E11" s="22" t="inlineStr">
        <is>
          <t>neu</t>
        </is>
      </c>
    </row>
    <row r="12">
      <c r="A12" s="20" t="inlineStr">
        <is>
          <t>src/lib/operator-middleware.ts</t>
        </is>
      </c>
      <c r="B12" s="20" t="inlineStr">
        <is>
          <t>Authz</t>
        </is>
      </c>
      <c r="C12" s="20" t="inlineStr">
        <is>
          <t>nach authMiddleware</t>
        </is>
      </c>
      <c r="D12" s="20" t="inlineStr">
        <is>
          <t>ja</t>
        </is>
      </c>
      <c r="E12" s="20" t="inlineStr">
        <is>
          <t>neu</t>
        </is>
      </c>
    </row>
    <row r="13">
      <c r="A13" s="22" t="inlineStr">
        <is>
          <t>src/lib/operator.test.ts</t>
        </is>
      </c>
      <c r="B13" s="22" t="inlineStr">
        <is>
          <t>Test</t>
        </is>
      </c>
      <c r="C13" s="22" t="inlineStr">
        <is>
          <t>Allowlist</t>
        </is>
      </c>
      <c r="D13" s="22" t="inlineStr">
        <is>
          <t>ja</t>
        </is>
      </c>
      <c r="E13" s="22" t="inlineStr">
        <is>
          <t>neu</t>
        </is>
      </c>
    </row>
    <row r="14">
      <c r="A14" s="20" t="inlineStr">
        <is>
          <t>src/lib/auth/email-password.ts</t>
        </is>
      </c>
      <c r="B14" s="20" t="inlineStr">
        <is>
          <t>Auth</t>
        </is>
      </c>
      <c r="C14" s="20" t="inlineStr">
        <is>
          <t>emailSignUpEnabled=false</t>
        </is>
      </c>
      <c r="D14" s="20" t="inlineStr">
        <is>
          <t>ja</t>
        </is>
      </c>
      <c r="E14" s="20" t="inlineStr"/>
    </row>
    <row r="15">
      <c r="A15" s="22" t="inlineStr">
        <is>
          <t>src/lib/auth/server.ts</t>
        </is>
      </c>
      <c r="B15" s="22" t="inlineStr">
        <is>
          <t>Auth</t>
        </is>
      </c>
      <c r="C15" s="22" t="inlineStr">
        <is>
          <t>disableSignUp</t>
        </is>
      </c>
      <c r="D15" s="22" t="inlineStr">
        <is>
          <t>ja</t>
        </is>
      </c>
      <c r="E15" s="22" t="inlineStr">
        <is>
          <t>eine Zeile, Sicherheitsfix</t>
        </is>
      </c>
    </row>
    <row r="16">
      <c r="A16" s="20" t="inlineStr">
        <is>
          <t>src/routes/login.tsx</t>
        </is>
      </c>
      <c r="B16" s="20" t="inlineStr">
        <is>
          <t>UI</t>
        </is>
      </c>
      <c r="C16" s="20" t="inlineStr">
        <is>
          <t>keine Registrierung, main-content</t>
        </is>
      </c>
      <c r="D16" s="20" t="inlineStr">
        <is>
          <t>ja</t>
        </is>
      </c>
      <c r="E16" s="20" t="inlineStr"/>
    </row>
    <row r="17">
      <c r="A17" s="22" t="inlineStr">
        <is>
          <t>src/routes/admin.tsx</t>
        </is>
      </c>
      <c r="B17" s="22" t="inlineStr">
        <is>
          <t>UI</t>
        </is>
      </c>
      <c r="C17" s="22" t="inlineStr">
        <is>
          <t>Kein Betriebszugang</t>
        </is>
      </c>
      <c r="D17" s="22" t="inlineStr">
        <is>
          <t>ja</t>
        </is>
      </c>
      <c r="E17" s="22" t="inlineStr"/>
    </row>
    <row r="18">
      <c r="A18" s="20" t="inlineStr">
        <is>
          <t>src/lib/admin.functions.ts</t>
        </is>
      </c>
      <c r="B18" s="20" t="inlineStr">
        <is>
          <t>Backend</t>
        </is>
      </c>
      <c r="C18" s="20" t="inlineStr">
        <is>
          <t>operatorMiddleware, Same-Site, getOperatorAccess</t>
        </is>
      </c>
      <c r="D18" s="20" t="inlineStr">
        <is>
          <t>ja</t>
        </is>
      </c>
      <c r="E18" s="20" t="inlineStr"/>
    </row>
    <row r="19">
      <c r="A19" s="22" t="inlineStr">
        <is>
          <t>src/lib/bookings.functions.ts</t>
        </is>
      </c>
      <c r="B19" s="22" t="inlineStr">
        <is>
          <t>Backend</t>
        </is>
      </c>
      <c r="C19" s="22" t="inlineStr">
        <is>
          <t>Same-Site, on-request-Notiz, Foto Name/Tel</t>
        </is>
      </c>
      <c r="D19" s="22" t="inlineStr">
        <is>
          <t>ja</t>
        </is>
      </c>
      <c r="E19" s="22" t="inlineStr"/>
    </row>
    <row r="20">
      <c r="A20" s="20" t="inlineStr">
        <is>
          <t>src/lib/cms.functions.ts</t>
        </is>
      </c>
      <c r="B20" s="20" t="inlineStr">
        <is>
          <t>Backend</t>
        </is>
      </c>
      <c r="C20" s="20" t="inlineStr">
        <is>
          <t>operatorMiddleware</t>
        </is>
      </c>
      <c r="D20" s="20" t="inlineStr">
        <is>
          <t>ja</t>
        </is>
      </c>
      <c r="E20" s="20" t="inlineStr"/>
    </row>
    <row r="21">
      <c r="A21" s="22" t="inlineStr">
        <is>
          <t>src/lib/backup.functions.ts</t>
        </is>
      </c>
      <c r="B21" s="22" t="inlineStr">
        <is>
          <t>Backend</t>
        </is>
      </c>
      <c r="C21" s="22" t="inlineStr">
        <is>
          <t>operatorMiddleware</t>
        </is>
      </c>
      <c r="D21" s="22" t="inlineStr">
        <is>
          <t>ja</t>
        </is>
      </c>
      <c r="E21" s="22" t="inlineStr"/>
    </row>
    <row r="22">
      <c r="A22" s="20" t="inlineStr">
        <is>
          <t>src/lib/ops.ts</t>
        </is>
      </c>
      <c r="B22" s="20" t="inlineStr">
        <is>
          <t>Backend</t>
        </is>
      </c>
      <c r="C22" s="20" t="inlineStr">
        <is>
          <t>keine Kunden-WA-Queue</t>
        </is>
      </c>
      <c r="D22" s="20" t="inlineStr">
        <is>
          <t>ja</t>
        </is>
      </c>
      <c r="E22" s="20" t="inlineStr"/>
    </row>
    <row r="23">
      <c r="A23" s="22" t="inlineStr">
        <is>
          <t>src/lib/ops.test.ts</t>
        </is>
      </c>
      <c r="B23" s="22" t="inlineStr">
        <is>
          <t>Test</t>
        </is>
      </c>
      <c r="C23" s="22" t="inlineStr">
        <is>
          <t>Confirm ohne WA</t>
        </is>
      </c>
      <c r="D23" s="22" t="inlineStr">
        <is>
          <t>ja</t>
        </is>
      </c>
      <c r="E23" s="22" t="inlineStr"/>
    </row>
    <row r="24">
      <c r="A24" s="20" t="inlineStr">
        <is>
          <t>src/components/configurator.tsx</t>
        </is>
      </c>
      <c r="B24" s="20" t="inlineStr">
        <is>
          <t>UI</t>
        </is>
      </c>
      <c r="C24" s="20" t="inlineStr">
        <is>
          <t>pickupPriceText</t>
        </is>
      </c>
      <c r="D24" s="20" t="inlineStr">
        <is>
          <t>ja</t>
        </is>
      </c>
      <c r="E24" s="20" t="inlineStr"/>
    </row>
    <row r="25">
      <c r="A25" s="22" t="inlineStr">
        <is>
          <t>src/data/pickup.test.ts</t>
        </is>
      </c>
      <c r="B25" s="22" t="inlineStr">
        <is>
          <t>Test</t>
        </is>
      </c>
      <c r="C25" s="22" t="inlineStr">
        <is>
          <t>alte 20-€-Staffel + on-request</t>
        </is>
      </c>
      <c r="D25" s="22" t="inlineStr">
        <is>
          <t>ja</t>
        </is>
      </c>
      <c r="E25" s="22" t="inlineStr"/>
    </row>
    <row r="26">
      <c r="A26" s="20" t="inlineStr">
        <is>
          <t>src/routes/datenschutz.tsx</t>
        </is>
      </c>
      <c r="B26" s="20" t="inlineStr">
        <is>
          <t>Recht</t>
        </is>
      </c>
      <c r="C26" s="20" t="inlineStr">
        <is>
          <t>Instagram-Satz</t>
        </is>
      </c>
      <c r="D26" s="20" t="inlineStr">
        <is>
          <t>ja</t>
        </is>
      </c>
      <c r="E26" s="20" t="inlineStr"/>
    </row>
    <row r="27">
      <c r="A27" s="22" t="inlineStr">
        <is>
          <t>src/routes/agb.tsx</t>
        </is>
      </c>
      <c r="B27" s="22" t="inlineStr">
        <is>
          <t>Recht</t>
        </is>
      </c>
      <c r="C27" s="22" t="inlineStr">
        <is>
          <t>Stand 31.08.2026</t>
        </is>
      </c>
      <c r="D27" s="22" t="inlineStr">
        <is>
          <t>ja</t>
        </is>
      </c>
      <c r="E27" s="22" t="inlineStr"/>
    </row>
    <row r="28">
      <c r="A28" s="20" t="inlineStr">
        <is>
          <t>src/routes/widerruf.tsx</t>
        </is>
      </c>
      <c r="B28" s="20" t="inlineStr">
        <is>
          <t>Recht</t>
        </is>
      </c>
      <c r="C28" s="20" t="inlineStr">
        <is>
          <t>Stand 31.08.2026</t>
        </is>
      </c>
      <c r="D28" s="20" t="inlineStr">
        <is>
          <t>ja</t>
        </is>
      </c>
      <c r="E28" s="20" t="inlineStr"/>
    </row>
    <row r="29">
      <c r="A29" s="22" t="inlineStr">
        <is>
          <t>docs/WHITE-GLOSS-Audit-2026-08-Abschlussbericht.xlsx</t>
        </is>
      </c>
      <c r="B29" s="22" t="inlineStr">
        <is>
          <t>Bericht</t>
        </is>
      </c>
      <c r="C29" s="22" t="inlineStr">
        <is>
          <t>dieser Stand</t>
        </is>
      </c>
      <c r="D29" s="22" t="inlineStr">
        <is>
          <t>ja</t>
        </is>
      </c>
      <c r="E29" s="22" t="inlineStr"/>
    </row>
    <row r="30">
      <c r="A30" s="20" t="inlineStr">
        <is>
          <t>.env</t>
        </is>
      </c>
      <c r="B30" s="20" t="inlineStr">
        <is>
          <t>Secret</t>
        </is>
      </c>
      <c r="C30" s="20" t="inlineStr">
        <is>
          <t>NICHT im Commit</t>
        </is>
      </c>
      <c r="D30" s="29" t="inlineStr">
        <is>
          <t>nein</t>
        </is>
      </c>
      <c r="E30" s="20" t="inlineStr"/>
    </row>
    <row r="31">
      <c r="A31" t="inlineStr">
        <is>
          <t>Dateien im Commit</t>
        </is>
      </c>
      <c r="B31">
        <f>COUNTIF(D6:D30,"ja")</f>
        <v/>
      </c>
    </row>
    <row r="32">
      <c r="A32" t="inlineStr">
        <is>
          <t>Ausgeschlossen</t>
        </is>
      </c>
      <c r="B32">
        <f>COUNTIF(D6:D30,"nein")</f>
        <v/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2026-08-31T21:26:33Z</dcterms:created>
  <dcterms:modified xsi:type="dcterms:W3CDTF">2026-08-31T21:26:33Z</dcterms:modified>
</cp:coreProperties>
</file>