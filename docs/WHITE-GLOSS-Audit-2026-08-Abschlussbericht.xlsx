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ckblatt" sheetId="1" state="visible" r:id="rId1"/>
    <sheet name="Auditmatrix" sheetId="2" state="visible" r:id="rId2"/>
    <sheet name="Qualitaetstore" sheetId="3" state="visible" r:id="rId3"/>
    <sheet name="Offene_Punkte" sheetId="4" state="visible" r:id="rId4"/>
    <sheet name="Risiken" sheetId="5" state="visible" r:id="rId5"/>
    <sheet name="Kontrast" sheetId="6" state="visible" r:id="rId6"/>
    <sheet name="Dateien" sheetId="7" state="visible" r:id="rId7"/>
  </sheets>
  <definedNames>
    <definedName name="_xlnm._FilterDatabase" localSheetId="1" hidden="1">'Auditmatrix'!$A$7:$I$41</definedName>
    <definedName name="_xlnm.Print_Titles" localSheetId="1">'Auditmatrix'!$1:$7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4EFE6"/>
      <sz val="9"/>
    </font>
    <font>
      <name val="Arial"/>
      <b val="1"/>
      <color rgb="006B7280"/>
      <sz val="10"/>
    </font>
    <font>
      <name val="Arial"/>
      <color rgb="000C0C0D"/>
      <sz val="10"/>
    </font>
    <font>
      <name val="Arial"/>
      <b val="1"/>
      <color rgb="000C0C0D"/>
      <sz val="11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sz val="10"/>
    </font>
    <font>
      <name val="Arial"/>
      <b val="1"/>
      <color rgb="001F7A4D"/>
      <sz val="9"/>
    </font>
    <font>
      <name val="Arial"/>
      <b val="1"/>
      <color rgb="009B2C2C"/>
      <sz val="9"/>
    </font>
    <font>
      <name val="Arial"/>
      <b val="1"/>
      <color rgb="00FFFFFF"/>
      <sz val="10"/>
    </font>
    <font>
      <name val="Arial"/>
      <b val="1"/>
      <color rgb="008A6D00"/>
      <sz val="8"/>
    </font>
    <font>
      <name val="Arial"/>
      <b val="1"/>
      <color rgb="00FFFFFF"/>
      <sz val="9"/>
    </font>
    <font>
      <name val="Arial"/>
      <i val="1"/>
      <color rgb="006B7280"/>
      <sz val="9"/>
    </font>
  </fonts>
  <fills count="10">
    <fill>
      <patternFill/>
    </fill>
    <fill>
      <patternFill patternType="gray125"/>
    </fill>
    <fill>
      <patternFill patternType="solid">
        <fgColor rgb="000C0C0D"/>
      </patternFill>
    </fill>
    <fill>
      <patternFill patternType="solid">
        <fgColor rgb="001C1C20"/>
      </patternFill>
    </fill>
    <fill>
      <patternFill patternType="solid">
        <fgColor rgb="00FFF59D"/>
      </patternFill>
    </fill>
    <fill>
      <patternFill patternType="solid">
        <fgColor rgb="00D9F2E4"/>
      </patternFill>
    </fill>
    <fill>
      <patternFill patternType="solid">
        <fgColor rgb="00F8D7DA"/>
      </patternFill>
    </fill>
    <fill>
      <patternFill patternType="solid">
        <fgColor rgb="00FCE8C3"/>
      </patternFill>
    </fill>
    <fill>
      <patternFill patternType="solid">
        <fgColor rgb="00FFF3CD"/>
      </patternFill>
    </fill>
    <fill>
      <patternFill patternType="solid">
        <fgColor rgb="00F7F5F2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3" borderId="0" applyAlignment="1" pivotButton="0" quotePrefix="0" xfId="0">
      <alignment vertical="top" wrapText="1"/>
    </xf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vertical="top" wrapText="1"/>
    </xf>
    <xf numFmtId="0" fontId="7" fillId="0" borderId="0" pivotButton="0" quotePrefix="0" xfId="0"/>
    <xf numFmtId="0" fontId="11" fillId="3" borderId="0" pivotButton="0" quotePrefix="0" xfId="0"/>
    <xf numFmtId="0" fontId="7" fillId="5" borderId="0" pivotButton="0" quotePrefix="0" xfId="0"/>
    <xf numFmtId="0" fontId="7" fillId="6" borderId="0" pivotButton="0" quotePrefix="0" xfId="0"/>
    <xf numFmtId="0" fontId="7" fillId="7" borderId="0" pivotButton="0" quotePrefix="0" xfId="0"/>
    <xf numFmtId="0" fontId="7" fillId="8" borderId="0" pivotButton="0" quotePrefix="0" xfId="0"/>
    <xf numFmtId="164" fontId="7" fillId="0" borderId="0" pivotButton="0" quotePrefix="0" xfId="0"/>
    <xf numFmtId="0" fontId="9" fillId="5" borderId="0" applyAlignment="1" pivotButton="0" quotePrefix="0" xfId="0">
      <alignment horizontal="center" vertical="center" wrapText="1"/>
    </xf>
    <xf numFmtId="0" fontId="10" fillId="6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11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9" fillId="5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vertical="top" wrapText="1"/>
    </xf>
    <xf numFmtId="0" fontId="12" fillId="8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1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2" borderId="1" pivotButton="0" quotePrefix="0" xfId="0"/>
    <xf numFmtId="0" fontId="7" fillId="4" borderId="0" pivotButton="0" quotePrefix="0" xfId="0"/>
    <xf numFmtId="0" fontId="4" fillId="6" borderId="1" applyAlignment="1" pivotButton="0" quotePrefix="0" xfId="0">
      <alignment vertical="top" wrapText="1"/>
    </xf>
    <xf numFmtId="165" fontId="6" fillId="4" borderId="0" pivotButton="0" quotePrefix="0" xfId="0"/>
    <xf numFmtId="0" fontId="14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pivotButton="0" quotePrefix="0" xfId="0"/>
    <xf numFmtId="2" fontId="7" fillId="0" borderId="1" pivotButton="0" quotePrefix="0" xfId="0"/>
    <xf numFmtId="0" fontId="4" fillId="0" borderId="1" pivotButton="0" quotePrefix="0" xfId="0"/>
    <xf numFmtId="0" fontId="4" fillId="5" borderId="1" pivotButton="0" quotePrefix="0" xfId="0"/>
    <xf numFmtId="0" fontId="4" fillId="6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9F2E4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CE8C3"/>
        </patternFill>
      </fill>
    </dxf>
    <dxf>
      <fill>
        <patternFill patternType="solid">
          <f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Statusverteilung</a:t>
            </a:r>
          </a:p>
        </rich>
      </tx>
    </title>
    <plotArea>
      <pieChart>
        <varyColors val="1"/>
        <ser>
          <idx val="0"/>
          <order val="0"/>
          <tx>
            <strRef>
              <f>'Deckblatt'!G21</f>
            </strRef>
          </tx>
          <spPr>
            <a:ln>
              <a:prstDash val="solid"/>
            </a:ln>
          </spPr>
          <cat>
            <numRef>
              <f>'Deckblatt'!$F$22:$F$25</f>
            </numRef>
          </cat>
          <val>
            <numRef>
              <f>'Deckblatt'!$G$22:$G$25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Audit</author>
  </authors>
  <commentList>
    <comment ref="B16" authorId="0" shapeId="0">
      <text>
        <t>Nach IONOS-Deploy den Live-SHA ersetzen. Gelbe Zellen sind Eingaben.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28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0C0C0D"/>
    <outlinePr summaryBelow="1" summaryRight="1"/>
    <pageSetUpPr fitToPage="1"/>
  </sheetPr>
  <dimension ref="A1:G41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4" customWidth="1" min="1" max="1"/>
    <col width="56" customWidth="1" min="2" max="2"/>
    <col width="18" customWidth="1" min="3" max="3"/>
    <col width="36" customWidth="1" min="4" max="4"/>
    <col width="14" customWidth="1" min="5" max="5"/>
    <col width="26" customWidth="1" min="6" max="6"/>
    <col width="12" customWidth="1" min="7" max="7"/>
  </cols>
  <sheetData>
    <row r="1" ht="22" customHeight="1">
      <c r="A1" s="1" t="inlineStr">
        <is>
          <t>WHITE GLOSS DETAILING  ·  Produktion-Audit Abschlussbericht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3">
      <c r="A3" s="3" t="inlineStr">
        <is>
          <t>Technischer Audit von white-gloss.de und White-Gloss/glanz-buchung-meister. Keine anwaltliche Freigabe. Keine erfundenen Register- oder Steuerangaben. Status nur PASS / FAIL / BLOCKED / MANUAL CHECK REQUIRED.</t>
        </is>
      </c>
      <c r="B3" s="4" t="n"/>
      <c r="C3" s="4" t="n"/>
      <c r="D3" s="4" t="n"/>
      <c r="E3" s="4" t="n"/>
      <c r="F3" s="4" t="n"/>
      <c r="G3" s="4" t="n"/>
    </row>
    <row r="4">
      <c r="A4" s="4" t="n"/>
      <c r="B4" s="4" t="n"/>
      <c r="C4" s="4" t="n"/>
      <c r="D4" s="4" t="n"/>
      <c r="E4" s="4" t="n"/>
      <c r="F4" s="4" t="n"/>
      <c r="G4" s="4" t="n"/>
    </row>
    <row r="6">
      <c r="A6" s="5" t="inlineStr">
        <is>
          <t>Projekt</t>
        </is>
      </c>
      <c r="B6" s="6" t="inlineStr">
        <is>
          <t>WHITE GLOSS DETAILING</t>
        </is>
      </c>
    </row>
    <row r="7">
      <c r="A7" s="5" t="inlineStr">
        <is>
          <t>Repository</t>
        </is>
      </c>
      <c r="B7" s="6" t="inlineStr">
        <is>
          <t>White-Gloss/glanz-buchung-meister</t>
        </is>
      </c>
    </row>
    <row r="8">
      <c r="A8" s="5" t="inlineStr">
        <is>
          <t>Live-Domain</t>
        </is>
      </c>
      <c r="B8" s="6" t="inlineStr">
        <is>
          <t>https://white-gloss.de</t>
        </is>
      </c>
    </row>
    <row r="9">
      <c r="A9" s="5" t="inlineStr">
        <is>
          <t>Pull Request</t>
        </is>
      </c>
      <c r="B9" s="6" t="inlineStr">
        <is>
          <t>https://github.com/White-Gloss/glanz-buchung-meister/pull/99</t>
        </is>
      </c>
    </row>
    <row r="10">
      <c r="A10" s="5" t="inlineStr">
        <is>
          <t>Branch</t>
        </is>
      </c>
      <c r="B10" s="6" t="inlineStr">
        <is>
          <t>fix/production-audit-2026-08</t>
        </is>
      </c>
    </row>
    <row r="12">
      <c r="A12" s="7" t="inlineStr">
        <is>
          <t>EINGABEN (blau, gelb = nach Deploy aktualisieren)</t>
        </is>
      </c>
    </row>
    <row r="13">
      <c r="A13" s="5" t="inlineStr">
        <is>
          <t>Auditdatum</t>
        </is>
      </c>
      <c r="B13" s="8" t="inlineStr">
        <is>
          <t>2026-08-31</t>
        </is>
      </c>
    </row>
    <row r="14">
      <c r="A14" s="5" t="inlineStr">
        <is>
          <t>Main-SHA (Ausgang)</t>
        </is>
      </c>
      <c r="B14" s="8" t="inlineStr">
        <is>
          <t>0f386ef70682262de4cc5ac2f444271554fe031d</t>
        </is>
      </c>
    </row>
    <row r="15">
      <c r="A15" s="5" t="inlineStr">
        <is>
          <t>Branch-SHA (dieser Stand)</t>
        </is>
      </c>
      <c r="B15" s="8" t="inlineStr">
        <is>
          <t>c3f24750e3503d4467b29269cbc39916f5223111</t>
        </is>
      </c>
    </row>
    <row r="16" ht="32" customHeight="1">
      <c r="A16" s="5" t="inlineStr">
        <is>
          <t>Live-SHA (manuell nach Deploy)</t>
        </is>
      </c>
      <c r="B16" s="8" t="inlineStr">
        <is>
          <t>NICHT DIESES COMMIT — Live hat noch ODR</t>
        </is>
      </c>
    </row>
    <row r="17">
      <c r="A17" s="5" t="inlineStr">
        <is>
          <t>Deployment-Zeit Live</t>
        </is>
      </c>
      <c r="B17" s="8" t="inlineStr">
        <is>
          <t>offen</t>
        </is>
      </c>
    </row>
    <row r="18">
      <c r="A18" s="5" t="inlineStr">
        <is>
          <t>Getestete Preview</t>
        </is>
      </c>
      <c r="B18" s="8" t="inlineStr">
        <is>
          <t>lokaler Dev-Server dieses Branches</t>
        </is>
      </c>
    </row>
    <row r="20">
      <c r="A20" s="7" t="inlineStr">
        <is>
          <t>KENNZAHLEN AUS DER AUDITMATRIX (Formeln)</t>
        </is>
      </c>
    </row>
    <row r="21">
      <c r="A21" s="5" t="inlineStr">
        <is>
          <t>Punkte gesamt</t>
        </is>
      </c>
      <c r="B21" s="9">
        <f>COUNTA(Auditmatrix!A8:A50)</f>
        <v/>
      </c>
      <c r="F21" s="10" t="inlineStr">
        <is>
          <t>Status</t>
        </is>
      </c>
      <c r="G21" s="10" t="inlineStr">
        <is>
          <t>Anzahl</t>
        </is>
      </c>
    </row>
    <row r="22">
      <c r="A22" s="5" t="inlineStr">
        <is>
          <t>PASS</t>
        </is>
      </c>
      <c r="B22" s="11">
        <f>COUNTIF(Auditmatrix!H8:H50,"PASS")</f>
        <v/>
      </c>
      <c r="F22" s="6" t="inlineStr">
        <is>
          <t>PASS</t>
        </is>
      </c>
      <c r="G22" s="9">
        <f>B22</f>
        <v/>
      </c>
    </row>
    <row r="23">
      <c r="A23" s="5" t="inlineStr">
        <is>
          <t>FAIL</t>
        </is>
      </c>
      <c r="B23" s="12">
        <f>COUNTIF(Auditmatrix!H8:H50,"FAIL")</f>
        <v/>
      </c>
      <c r="F23" s="6" t="inlineStr">
        <is>
          <t>FAIL</t>
        </is>
      </c>
      <c r="G23" s="9">
        <f>B23</f>
        <v/>
      </c>
    </row>
    <row r="24">
      <c r="A24" s="5" t="inlineStr">
        <is>
          <t>BLOCKED</t>
        </is>
      </c>
      <c r="B24" s="13">
        <f>COUNTIF(Auditmatrix!H8:H50,"BLOCKED")</f>
        <v/>
      </c>
      <c r="F24" s="6" t="inlineStr">
        <is>
          <t>BLOCKED</t>
        </is>
      </c>
      <c r="G24" s="9">
        <f>B24</f>
        <v/>
      </c>
    </row>
    <row r="25">
      <c r="A25" s="5" t="inlineStr">
        <is>
          <t>MANUAL CHECK REQUIRED</t>
        </is>
      </c>
      <c r="B25" s="14">
        <f>COUNTIF(Auditmatrix!H8:H50,"MANUAL CHECK REQUIRED")</f>
        <v/>
      </c>
      <c r="F25" s="6" t="inlineStr">
        <is>
          <t>MANUAL CHECK REQUIRED</t>
        </is>
      </c>
      <c r="G25" s="9">
        <f>B25</f>
        <v/>
      </c>
    </row>
    <row r="26">
      <c r="A26" s="5" t="inlineStr">
        <is>
          <t>Anteil PASS</t>
        </is>
      </c>
      <c r="B26" s="15">
        <f>IF(B21=0,0,B22/B21)</f>
        <v/>
      </c>
    </row>
    <row r="27">
      <c r="A27" s="5" t="inlineStr">
        <is>
          <t>Offen (FAIL+BLOCKED+MANUAL)</t>
        </is>
      </c>
      <c r="B27" s="14">
        <f>B23+B24+B25</f>
        <v/>
      </c>
    </row>
    <row r="28">
      <c r="A28" s="5" t="inlineStr">
        <is>
          <t>Live entspricht Branch?</t>
        </is>
      </c>
      <c r="B28" s="9">
        <f>IF(ISNUMBER(SEARCH("NICHT",B16)),"NEIN","PRÜFEN")</f>
        <v/>
      </c>
    </row>
    <row r="30">
      <c r="A30" s="7" t="inlineStr">
        <is>
          <t>Lokal nachgewiesene Qualitätstore</t>
        </is>
      </c>
    </row>
    <row r="31">
      <c r="A31" s="5" t="inlineStr">
        <is>
          <t>npm test</t>
        </is>
      </c>
      <c r="D31" s="16" t="inlineStr">
        <is>
          <t>PASS 27/27</t>
        </is>
      </c>
    </row>
    <row r="32">
      <c r="A32" s="5" t="inlineStr">
        <is>
          <t>npm run typecheck</t>
        </is>
      </c>
      <c r="D32" s="16" t="inlineStr">
        <is>
          <t>PASS</t>
        </is>
      </c>
    </row>
    <row r="33">
      <c r="A33" s="5" t="inlineStr">
        <is>
          <t>npm run lint</t>
        </is>
      </c>
      <c r="D33" s="16" t="inlineStr">
        <is>
          <t>PASS (0 errors, 4 vorbestehende warnings)</t>
        </is>
      </c>
    </row>
    <row r="34">
      <c r="A34" s="5" t="inlineStr">
        <is>
          <t>npm run build</t>
        </is>
      </c>
      <c r="D34" s="16" t="inlineStr">
        <is>
          <t>PASS</t>
        </is>
      </c>
    </row>
    <row r="35">
      <c r="A35" s="5" t="inlineStr">
        <is>
          <t>Lokaler Inhalts-Smoke (kein ODR, kein wg-cookie, kein Alt-Upload)</t>
        </is>
      </c>
      <c r="D35" s="16" t="inlineStr">
        <is>
          <t>PASS</t>
        </is>
      </c>
    </row>
    <row r="36">
      <c r="A36" s="5" t="inlineStr">
        <is>
          <t>Browser Skip-Link, Maps, Impressum, Datenschutz, Preise, Zustand</t>
        </is>
      </c>
      <c r="D36" s="16" t="inlineStr">
        <is>
          <t>PASS</t>
        </is>
      </c>
    </row>
    <row r="37">
      <c r="A37" s="5" t="inlineStr">
        <is>
          <t>smoke:production gegen Live</t>
        </is>
      </c>
      <c r="D37" s="17" t="inlineStr">
        <is>
          <t>FAIL bis Deploy</t>
        </is>
      </c>
    </row>
    <row r="39">
      <c r="A39" s="18" t="inlineStr">
        <is>
          <t>PASS = im Branch technisch nachgewiesen. FAIL gegen Live ist erwartet, bis PR 99 auf IONOS liegt. MANUAL CHECK REQUIRED = Messung, Anwalt oder Betreiberangabe fehlt. Nichts davon als PASS verkauft.</t>
        </is>
      </c>
    </row>
    <row r="40"/>
    <row r="41"/>
  </sheetData>
  <mergeCells count="21">
    <mergeCell ref="B14:D14"/>
    <mergeCell ref="A37:C37"/>
    <mergeCell ref="B8:D8"/>
    <mergeCell ref="B17:D17"/>
    <mergeCell ref="B13:D13"/>
    <mergeCell ref="B10:D10"/>
    <mergeCell ref="A33:C33"/>
    <mergeCell ref="A32:C32"/>
    <mergeCell ref="A3:G4"/>
    <mergeCell ref="A1:F2"/>
    <mergeCell ref="B9:D9"/>
    <mergeCell ref="A35:C35"/>
    <mergeCell ref="B15:D15"/>
    <mergeCell ref="B6:D6"/>
    <mergeCell ref="A39:G41"/>
    <mergeCell ref="A31:C31"/>
    <mergeCell ref="A34:C34"/>
    <mergeCell ref="B7:D7"/>
    <mergeCell ref="B16:D16"/>
    <mergeCell ref="A36:C36"/>
    <mergeCell ref="B18:D18"/>
  </mergeCells>
  <pageMargins left="0.75" right="0.75" top="1" bottom="1" header="0.5" footer="0.5"/>
  <pageSetup orientation="landscape" paperSize="9" fitToHeight="0" fitToWidth="1"/>
  <headerFooter>
    <oddHeader>&amp;LWHITE GLOSS DETAILING</oddHeader>
    <oddFooter>&amp;LWHITE GLOSS Produktion-Audit 31.08.2026 — keine Rechtsberatung&amp;RSeite &amp;P / &amp;N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D97868"/>
    <outlinePr summaryBelow="1" summaryRight="1"/>
    <pageSetUpPr fitToPage="1"/>
  </sheetPr>
  <dimension ref="A1:I4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32" customWidth="1" min="3" max="3"/>
    <col width="32" customWidth="1" min="4" max="4"/>
    <col width="46" customWidth="1" min="5" max="5"/>
    <col width="38" customWidth="1" min="6" max="6"/>
    <col width="34" customWidth="1" min="7" max="7"/>
    <col width="24" customWidth="1" min="8" max="8"/>
    <col width="36" customWidth="1" min="9" max="9"/>
  </cols>
  <sheetData>
    <row r="1" ht="22" customHeight="1">
      <c r="A1" s="1" t="inlineStr">
        <is>
          <t>Auditmatrix  ·  jeder Punkt mit nachgewiesenem Status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3">
      <c r="A3" s="3" t="inlineStr">
        <is>
          <t>Spalte H nur die vier Statuswerte. Deckblatt zählt per COUNTIF. Code-PASS = Fix in c3f2475 und lokal getestet. Live bleibt FAIL, bis IONOS ausrollt.</t>
        </is>
      </c>
      <c r="B3" s="4" t="n"/>
      <c r="C3" s="4" t="n"/>
      <c r="D3" s="4" t="n"/>
      <c r="E3" s="4" t="n"/>
      <c r="F3" s="4" t="n"/>
      <c r="G3" s="4" t="n"/>
      <c r="H3" s="4" t="n"/>
      <c r="I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</row>
    <row r="7">
      <c r="A7" s="19" t="inlineStr">
        <is>
          <t>Nr</t>
        </is>
      </c>
      <c r="B7" s="19" t="inlineStr">
        <is>
          <t>Bereich</t>
        </is>
      </c>
      <c r="C7" s="19" t="inlineStr">
        <is>
          <t>Fehler</t>
        </is>
      </c>
      <c r="D7" s="19" t="inlineStr">
        <is>
          <t>Ursache</t>
        </is>
      </c>
      <c r="E7" s="19" t="inlineStr">
        <is>
          <t>Lösung</t>
        </is>
      </c>
      <c r="F7" s="19" t="inlineStr">
        <is>
          <t>Dateien</t>
        </is>
      </c>
      <c r="G7" s="19" t="inlineStr">
        <is>
          <t>Test</t>
        </is>
      </c>
      <c r="H7" s="19" t="inlineStr">
        <is>
          <t>Ergebnis</t>
        </is>
      </c>
      <c r="I7" s="19" t="inlineStr">
        <is>
          <t>Bemerkung</t>
        </is>
      </c>
    </row>
    <row r="8" ht="72" customHeight="1">
      <c r="A8" s="20" t="n">
        <v>1</v>
      </c>
      <c r="B8" s="21" t="inlineStr">
        <is>
          <t>Impressum / ODR</t>
        </is>
      </c>
      <c r="C8" s="21" t="inlineStr">
        <is>
          <t>Toter EU-OS-/ODR-Link</t>
        </is>
      </c>
      <c r="D8" s="21" t="inlineStr">
        <is>
          <t>Plattform seit 20.07.2025 eingestellt</t>
        </is>
      </c>
      <c r="E8" s="21" t="inlineStr">
        <is>
          <t>Link weg. VSBG-Satz belassen (nicht verpflichtet und nicht bereit). OS-Plattform nicht mehr betrieben. Keine USt-IdNr. erfunden.</t>
        </is>
      </c>
      <c r="F8" s="21" t="inlineStr">
        <is>
          <t>impressum.tsx; smoke-production.mjs</t>
        </is>
      </c>
      <c r="G8" s="21" t="inlineStr">
        <is>
          <t>Lokal kein ec.europa.eu/consumers/odr; VSBG-Satz da</t>
        </is>
      </c>
      <c r="H8" s="22" t="inlineStr">
        <is>
          <t>PASS</t>
        </is>
      </c>
      <c r="I8" s="21" t="inlineStr">
        <is>
          <t>Live bis Deploy weiter ODR. Anwalt VSBG/BFSG offen.</t>
        </is>
      </c>
    </row>
    <row r="9" ht="72" customHeight="1">
      <c r="A9" s="23" t="n">
        <v>2</v>
      </c>
      <c r="B9" s="24" t="inlineStr">
        <is>
          <t>Abholpreise</t>
        </is>
      </c>
      <c r="C9" s="24" t="inlineStr">
        <is>
          <t>Mehrere hartcodierte Staffeln</t>
        </is>
      </c>
      <c r="D9" s="24" t="inlineStr">
        <is>
          <t>Texte drifteten von der Logik</t>
        </is>
      </c>
      <c r="E9" s="24" t="inlineStr">
        <is>
          <t>pickupPricing einzige Tabelle. Helper pickupFee/PriceText/TierSummary/KeramikNote. Server quoteTotal nutzt pickupFee.</t>
        </is>
      </c>
      <c r="F9" s="24" t="inlineStr">
        <is>
          <t>site.ts; pickup.test.ts; öffentliche Seiten</t>
        </is>
      </c>
      <c r="G9" s="24" t="inlineStr">
        <is>
          <t>npm test pickup 5/5 inkl. Stadt-Blurbs</t>
        </is>
      </c>
      <c r="H9" s="22" t="inlineStr">
        <is>
          <t>PASS</t>
        </is>
      </c>
      <c r="I9" s="24" t="inlineStr">
        <is>
          <t>Blurbs mit Prosa-Beträgen; Test bricht bei Drift.</t>
        </is>
      </c>
    </row>
    <row r="10" ht="72" customHeight="1">
      <c r="A10" s="20" t="n">
        <v>3</v>
      </c>
      <c r="B10" s="21" t="inlineStr">
        <is>
          <t>Fotoanfrage</t>
        </is>
      </c>
      <c r="C10" s="21" t="inlineStr">
        <is>
          <t>Text: Dateien im Betrieb; Code: nur Namen</t>
        </is>
      </c>
      <c r="D10" s="21" t="inlineStr">
        <is>
          <t>Kein Upload-Backend</t>
        </is>
      </c>
      <c r="E10" s="21" t="inlineStr">
        <is>
          <t>Variante A: ehrliche Copy, Datenschutz, Honeypot. Kein produktiver Upload.</t>
        </is>
      </c>
      <c r="F10" s="21" t="inlineStr">
        <is>
          <t>photo-inquiry.tsx; dellen/zustand; datenschutz; bookings.functions.ts</t>
        </is>
      </c>
      <c r="G10" s="21" t="inlineStr">
        <is>
          <t>Browser-Copy; Smoke verbietet alten Satz</t>
        </is>
      </c>
      <c r="H10" s="22" t="inlineStr">
        <is>
          <t>PASS</t>
        </is>
      </c>
      <c r="I10" s="21" t="inlineStr">
        <is>
          <t>Live /dellen noch alt bis Deploy.</t>
        </is>
      </c>
    </row>
    <row r="11" ht="72" customHeight="1">
      <c r="A11" s="23" t="n">
        <v>4</v>
      </c>
      <c r="B11" s="24" t="inlineStr">
        <is>
          <t>Datenschutz</t>
        </is>
      </c>
      <c r="C11" s="24" t="inlineStr">
        <is>
          <t>Behauptungen ≠ Code</t>
        </is>
      </c>
      <c r="D11" s="24" t="inlineStr">
        <is>
          <t>Texte vorgezogen</t>
        </is>
      </c>
      <c r="E11" s="24" t="inlineStr">
        <is>
          <t>Nur IONOS, Formular, kein Marketing-Cookie, Maps nach Klick Art. 6 I a, kein Auto-WA, Foto=Namen, Admin Google/X intern.</t>
        </is>
      </c>
      <c r="F11" s="24" t="inlineStr">
        <is>
          <t>datenschutz.tsx</t>
        </is>
      </c>
      <c r="G11" s="24" t="inlineStr">
        <is>
          <t>Lokal: kein wg-cookie, nicht hochgeladen, Maps-Wortlaut</t>
        </is>
      </c>
      <c r="H11" s="22" t="inlineStr">
        <is>
          <t>PASS</t>
        </is>
      </c>
      <c r="I11" s="24" t="inlineStr">
        <is>
          <t>Keine Rechtsberatung.</t>
        </is>
      </c>
    </row>
    <row r="12" ht="72" customHeight="1">
      <c r="A12" s="20" t="n">
        <v>5</v>
      </c>
      <c r="B12" s="21" t="inlineStr">
        <is>
          <t>Cookie / localStorage</t>
        </is>
      </c>
      <c r="C12" s="21" t="inlineStr">
        <is>
          <t>wg-cookie ohne Zweck</t>
        </is>
      </c>
      <c r="D12" s="21" t="inlineStr">
        <is>
          <t>Banner nur Kenntnisnahme</t>
        </is>
      </c>
      <c r="E12" s="21" t="inlineStr">
        <is>
          <t>CookieNotice und wg-cookie entfernt. Login-Session unangetastet.</t>
        </is>
      </c>
      <c r="F12" s="21" t="inlineStr">
        <is>
          <t>site-chrome.tsx; datenschutz.tsx</t>
        </is>
      </c>
      <c r="G12" s="21" t="inlineStr">
        <is>
          <t>Kein Banner im Browser; Code ohne wg-cookie</t>
        </is>
      </c>
      <c r="H12" s="22" t="inlineStr">
        <is>
          <t>PASS</t>
        </is>
      </c>
      <c r="I12" s="21" t="inlineStr"/>
    </row>
    <row r="13" ht="72" customHeight="1">
      <c r="A13" s="23" t="n">
        <v>6</v>
      </c>
      <c r="B13" s="24" t="inlineStr">
        <is>
          <t>Maps 2-Klick</t>
        </is>
      </c>
      <c r="C13" s="24" t="inlineStr">
        <is>
          <t>Button unklar</t>
        </is>
      </c>
      <c r="D13" s="24" t="inlineStr">
        <is>
          <t>Iframe schon am Klick, Label knapp</t>
        </is>
      </c>
      <c r="E13" s="24" t="inlineStr">
        <is>
          <t>«Google Maps laden – dabei werden Daten an Google übertragen». Vorher nur eigenes Bild.</t>
        </is>
      </c>
      <c r="F13" s="24" t="inlineStr">
        <is>
          <t>workshop-map.tsx</t>
        </is>
      </c>
      <c r="G13" s="24" t="inlineStr">
        <is>
          <t>Playwright findet Button; iframe nur nach Klick</t>
        </is>
      </c>
      <c r="H13" s="22" t="inlineStr">
        <is>
          <t>PASS</t>
        </is>
      </c>
      <c r="I13" s="24" t="inlineStr">
        <is>
          <t>HAR nach Deploy manuell.</t>
        </is>
      </c>
    </row>
    <row r="14" ht="72" customHeight="1">
      <c r="A14" s="20" t="n">
        <v>7</v>
      </c>
      <c r="B14" s="21" t="inlineStr">
        <is>
          <t>Owner-Notify WhatsApp</t>
        </is>
      </c>
      <c r="C14" s="21" t="inlineStr">
        <is>
          <t>Ziel booking.phone</t>
        </is>
      </c>
      <c r="D14" s="21" t="inlineStr">
        <is>
          <t>Empfänger mit Kundenkanal vermischt</t>
        </is>
      </c>
      <c r="E14" s="21" t="inlineStr">
        <is>
          <t>OWNER_* bzw. Impressum. Filter booking.phone. Kundenmail nur bei isEmailAddress.</t>
        </is>
      </c>
      <c r="F14" s="21" t="inlineStr">
        <is>
          <t>ops.ts; ops.test.ts; bookings.functions.ts</t>
        </is>
      </c>
      <c r="G14" s="21" t="inlineStr">
        <is>
          <t>Unit-Tests nie Kunden-Tel als Owner</t>
        </is>
      </c>
      <c r="H14" s="22" t="inlineStr">
        <is>
          <t>PASS</t>
        </is>
      </c>
      <c r="I14" s="21" t="inlineStr">
        <is>
          <t>Kein produktiver WA-Adapter. Queue = queued.</t>
        </is>
      </c>
    </row>
    <row r="15" ht="72" customHeight="1">
      <c r="A15" s="23" t="n">
        <v>8</v>
      </c>
      <c r="B15" s="24" t="inlineStr">
        <is>
          <t>outbound_queue Status</t>
        </is>
      </c>
      <c r="C15" s="24" t="inlineStr">
        <is>
          <t>status=sent ohne Versand</t>
        </is>
      </c>
      <c r="D15" s="24" t="inlineStr">
        <is>
          <t>queueChannel hardcodierte sent</t>
        </is>
      </c>
      <c r="E15" s="24" t="inlineStr">
        <is>
          <t>OUTBOUND_QUEUED=queued. Dokumente entwurf.</t>
        </is>
      </c>
      <c r="F15" s="24" t="inlineStr">
        <is>
          <t>ops.ts; bookings.functions.ts; admin.functions.ts</t>
        </is>
      </c>
      <c r="G15" s="24" t="inlineStr">
        <is>
          <t>Kein sent-Writer in diesen Pfaden</t>
        </is>
      </c>
      <c r="H15" s="22" t="inlineStr">
        <is>
          <t>PASS</t>
        </is>
      </c>
      <c r="I15" s="24" t="inlineStr"/>
    </row>
    <row r="16" ht="72" customHeight="1">
      <c r="A16" s="20" t="n">
        <v>9</v>
      </c>
      <c r="B16" s="21" t="inlineStr">
        <is>
          <t>E-Mail-Fallback</t>
        </is>
      </c>
      <c r="C16" s="21" t="inlineStr">
        <is>
          <t>email||phone im Mailkanal</t>
        </is>
      </c>
      <c r="D16" s="21" t="inlineStr">
        <is>
          <t>Keine Kanalvalidierung</t>
        </is>
      </c>
      <c r="E16" s="21" t="inlineStr">
        <is>
          <t>isEmailAddress. Ack/Erinnerung nur mit Mail.</t>
        </is>
      </c>
      <c r="F16" s="21" t="inlineStr">
        <is>
          <t>utils.ts; ops.ts; bookings/admin.functions.ts</t>
        </is>
      </c>
      <c r="G16" s="21" t="inlineStr">
        <is>
          <t>ops.test ohne Mail kein E-Mail-Ziel</t>
        </is>
      </c>
      <c r="H16" s="22" t="inlineStr">
        <is>
          <t>PASS</t>
        </is>
      </c>
      <c r="I16" s="21" t="inlineStr"/>
    </row>
    <row r="17" ht="72" customHeight="1">
      <c r="A17" s="23" t="n">
        <v>10</v>
      </c>
      <c r="B17" s="24" t="inlineStr">
        <is>
          <t>Spam-Schutz</t>
        </is>
      </c>
      <c r="C17" s="24" t="inlineStr">
        <is>
          <t>Nur Zod</t>
        </is>
      </c>
      <c r="D17" s="24" t="inlineStr">
        <is>
          <t>Keine Drossel/Honeypot</t>
        </is>
      </c>
      <c r="E17" s="24" t="inlineStr">
        <is>
          <t>IP-Limiter + Honeypot website. Operator 5/15 min. Default-PIN tot.</t>
        </is>
      </c>
      <c r="F17" s="24" t="inlineStr">
        <is>
          <t>rate-limit.ts; bookings.functions.ts; api.operator.ts</t>
        </is>
      </c>
      <c r="G17" s="24" t="inlineStr">
        <is>
          <t>rate-limit.test 2/2</t>
        </is>
      </c>
      <c r="H17" s="22" t="inlineStr">
        <is>
          <t>PASS</t>
        </is>
      </c>
      <c r="I17" s="24" t="inlineStr">
        <is>
          <t>In-Memory, ein VPS. Kein Captcha.</t>
        </is>
      </c>
    </row>
    <row r="18" ht="72" customHeight="1">
      <c r="A18" s="20" t="n">
        <v>11</v>
      </c>
      <c r="B18" s="21" t="inlineStr">
        <is>
          <t>WCAG Kontrast</t>
        </is>
      </c>
      <c r="C18" s="21" t="inlineStr">
        <is>
          <t>#c45c4a unter 4,5:1</t>
        </is>
      </c>
      <c r="D18" s="21" t="inlineStr">
        <is>
          <t>Zu dunkel auf dark</t>
        </is>
      </c>
      <c r="E18" s="21" t="inlineStr">
        <is>
          <t>--color-danger #d97868. Verhältnis 6,37 / 5,99 / 5,53. Token-Test.</t>
        </is>
      </c>
      <c r="F18" s="21" t="inlineStr">
        <is>
          <t>styles.css; contrast.ts; contrast.test.ts</t>
        </is>
      </c>
      <c r="G18" s="21" t="inlineStr">
        <is>
          <t>contrast.test 2/2; Skip-Link PASS</t>
        </is>
      </c>
      <c r="H18" s="22" t="inlineStr">
        <is>
          <t>PASS</t>
        </is>
      </c>
      <c r="I18" s="21" t="inlineStr">
        <is>
          <t>Rest-Tastatur = Zeile 25.</t>
        </is>
      </c>
    </row>
    <row r="19" ht="72" customHeight="1">
      <c r="A19" s="23" t="n">
        <v>12</v>
      </c>
      <c r="B19" s="24" t="inlineStr">
        <is>
          <t>Lighthouse CI</t>
        </is>
      </c>
      <c r="C19" s="24" t="inlineStr">
        <is>
          <t>Nicht bei Frontend-Änderungen</t>
        </is>
      </c>
      <c r="D19" s="24" t="inlineStr">
        <is>
          <t>Nur main, kein Artefakt-Pin</t>
        </is>
      </c>
      <c r="E19" s="24" t="inlineStr">
        <is>
          <t>paths src/** public/**; pull_request+main; upload-artifact@ea165f8; A11y 0,95 error.</t>
        </is>
      </c>
      <c r="F19" s="24" t="inlineStr">
        <is>
          <t>lighthouse-audit.yml; lighthouserc.*.cjs</t>
        </is>
      </c>
      <c r="G19" s="24" t="inlineStr">
        <is>
          <t>YAML-Review</t>
        </is>
      </c>
      <c r="H19" s="22" t="inlineStr">
        <is>
          <t>PASS</t>
        </is>
      </c>
      <c r="I19" s="24" t="inlineStr">
        <is>
          <t>CI trifft Live-URL, nicht PR-Preview.</t>
        </is>
      </c>
    </row>
    <row r="20" ht="72" customHeight="1">
      <c r="A20" s="20" t="n">
        <v>13</v>
      </c>
      <c r="B20" s="21" t="inlineStr">
        <is>
          <t>Production-Smoke</t>
        </is>
      </c>
      <c r="C20" s="21" t="inlineStr">
        <is>
          <t>Zu wenige Seiten</t>
        </is>
      </c>
      <c r="D20" s="21" t="inlineStr">
        <is>
          <t>Keine Altlast-Verbote</t>
        </is>
      </c>
      <c r="E20" s="21" t="inlineStr">
        <is>
          <t>Rechtsseiten, B2B, Luxus, Qualität, Zustand, Dellen. Verbote ODR / whitegloss.de / Alt-Upload / wg-cookie.</t>
        </is>
      </c>
      <c r="F20" s="21" t="inlineStr">
        <is>
          <t>smoke-production.mjs</t>
        </is>
      </c>
      <c r="G20" s="21" t="inlineStr">
        <is>
          <t>Lokal Inhalt PASS; Live FAIL alter Stand</t>
        </is>
      </c>
      <c r="H20" s="22" t="inlineStr">
        <is>
          <t>PASS</t>
        </is>
      </c>
      <c r="I20" s="21" t="inlineStr">
        <is>
          <t>Script PASS, Live bis Deploy FAIL.</t>
        </is>
      </c>
    </row>
    <row r="21" ht="72" customHeight="1">
      <c r="A21" s="23" t="n">
        <v>14</v>
      </c>
      <c r="B21" s="24" t="inlineStr">
        <is>
          <t>Security-Header / CSP</t>
        </is>
      </c>
      <c r="C21" s="24" t="inlineStr">
        <is>
          <t>Nicht ohne Ursache aufweichen</t>
        </is>
      </c>
      <c r="D21" s="24" t="inlineStr">
        <is>
          <t>TanStack/Vite inline</t>
        </is>
      </c>
      <c r="E21" s="24" t="inlineStr">
        <is>
          <t>CSP in diesem PR nicht angefasst. HSTS bleibt Caddy (0f386ef).</t>
        </is>
      </c>
      <c r="F21" s="24" t="inlineStr">
        <is>
          <t>server/security-headers.ts unverändert</t>
        </is>
      </c>
      <c r="G21" s="24" t="inlineStr">
        <is>
          <t>Diff ohne CSP-Änderung; Live-Header zuvor da</t>
        </is>
      </c>
      <c r="H21" s="22" t="inlineStr">
        <is>
          <t>PASS</t>
        </is>
      </c>
      <c r="I21" s="24" t="inlineStr">
        <is>
          <t>Nonce-CSP Folgeauftrag.</t>
        </is>
      </c>
    </row>
    <row r="22" ht="72" customHeight="1">
      <c r="A22" s="20" t="n">
        <v>15</v>
      </c>
      <c r="B22" s="21" t="inlineStr">
        <is>
          <t>Admin / Agent Auth</t>
        </is>
      </c>
      <c r="C22" s="21" t="inlineStr">
        <is>
          <t>PIN WG-BETRIEB öffentlich</t>
        </is>
      </c>
      <c r="D22" s="21" t="inlineStr">
        <is>
          <t>Default im Code/DB</t>
        </is>
      </c>
      <c r="E22" s="21" t="inlineStr">
        <is>
          <t>Inbound und setOperatorPin lehnen Default ab. Panel-Agent hinter authMiddleware.</t>
        </is>
      </c>
      <c r="F22" s="21" t="inlineStr">
        <is>
          <t>admin.functions.ts; api.operator.ts</t>
        </is>
      </c>
      <c r="G22" s="21" t="inlineStr">
        <is>
          <t>Default-PIN return vor executeParsed</t>
        </is>
      </c>
      <c r="H22" s="22" t="inlineStr">
        <is>
          <t>PASS</t>
        </is>
      </c>
      <c r="I22" s="21" t="inlineStr">
        <is>
          <t>PIN-Webhook &lt; Session. Eigenen PIN setzen.</t>
        </is>
      </c>
    </row>
    <row r="23" ht="72" customHeight="1">
      <c r="A23" s="23" t="n">
        <v>16</v>
      </c>
      <c r="B23" s="24" t="inlineStr">
        <is>
          <t>Sitemap / SEO</t>
        </is>
      </c>
      <c r="C23" s="24" t="inlineStr">
        <is>
          <t>200, Canonical, keine old domain</t>
        </is>
      </c>
      <c r="D23" s="24" t="inlineStr">
        <is>
          <t>Bestand 0f386ef</t>
        </is>
      </c>
      <c r="E23" s="24" t="inlineStr">
        <is>
          <t>Rechtstexte indexierbar. Smoke prüft noindex-Widerspruch.</t>
        </is>
      </c>
      <c r="F23" s="24" t="inlineStr">
        <is>
          <t>seo.ts; smoke-production.mjs</t>
        </is>
      </c>
      <c r="G23" s="24" t="inlineStr">
        <is>
          <t>Live 181 URLs indexierbar</t>
        </is>
      </c>
      <c r="H23" s="22" t="inlineStr">
        <is>
          <t>PASS</t>
        </is>
      </c>
      <c r="I23" s="24" t="inlineStr"/>
    </row>
    <row r="24" ht="72" customHeight="1">
      <c r="A24" s="20" t="n">
        <v>17</v>
      </c>
      <c r="B24" s="21" t="inlineStr">
        <is>
          <t>Strukturierte Daten</t>
        </is>
      </c>
      <c r="C24" s="21" t="inlineStr">
        <is>
          <t>Keine Fake-Sterne</t>
        </is>
      </c>
      <c r="D24" s="21" t="inlineStr">
        <is>
          <t>Bestand LocalBusiness/FAQ</t>
        </is>
      </c>
      <c r="E24" s="21" t="inlineStr">
        <is>
          <t>Kein aggregateRating erfunden.</t>
        </is>
      </c>
      <c r="F24" s="21" t="inlineStr">
        <is>
          <t>seo.ts; faq.tsx</t>
        </is>
      </c>
      <c r="G24" s="21" t="inlineStr">
        <is>
          <t>Code-Review</t>
        </is>
      </c>
      <c r="H24" s="22" t="inlineStr">
        <is>
          <t>PASS</t>
        </is>
      </c>
      <c r="I24" s="21" t="inlineStr">
        <is>
          <t>Rich-Results nach Deploy manuell.</t>
        </is>
      </c>
    </row>
    <row r="25" ht="72" customHeight="1">
      <c r="A25" s="23" t="n">
        <v>18</v>
      </c>
      <c r="B25" s="24" t="inlineStr">
        <is>
          <t>Formulare + Serverpreis</t>
        </is>
      </c>
      <c r="C25" s="24" t="inlineStr">
        <is>
          <t>Browserpreis darf nicht gelten</t>
        </is>
      </c>
      <c r="D25" s="24" t="inlineStr">
        <is>
          <t>IDs müssen serverseitig rechnen</t>
        </is>
      </c>
      <c r="E25" s="24" t="inlineStr">
        <is>
          <t>assertKnownPricing. total_cents aus quoteTotal. Honeypot+Limit.</t>
        </is>
      </c>
      <c r="F25" s="24" t="inlineStr">
        <is>
          <t>bookings.functions.ts; site.ts</t>
        </is>
      </c>
      <c r="G25" s="24" t="inlineStr">
        <is>
          <t>Schema; kein Client-total</t>
        </is>
      </c>
      <c r="H25" s="22" t="inlineStr">
        <is>
          <t>PASS</t>
        </is>
      </c>
      <c r="I25" s="24" t="inlineStr">
        <is>
          <t>UI-Negativmatrix Zeile 24.</t>
        </is>
      </c>
    </row>
    <row r="26" ht="72" customHeight="1">
      <c r="A26" s="20" t="n">
        <v>19</v>
      </c>
      <c r="B26" s="21" t="inlineStr">
        <is>
          <t>Keine Fake-Funktion / ERPNext</t>
        </is>
      </c>
      <c r="C26" s="21" t="inlineStr">
        <is>
          <t>sent ohne Adapter; keine Zoho</t>
        </is>
      </c>
      <c r="D26" s="21" t="inlineStr">
        <is>
          <t>Queue-Status + Strategie</t>
        </is>
      </c>
      <c r="E26" s="21" t="inlineStr">
        <is>
          <t>queued/entwurf. ERPNext unangetastet. Kein Zoho.</t>
        </is>
      </c>
      <c r="F26" s="21" t="inlineStr">
        <is>
          <t>ops.ts; admin.functions.ts</t>
        </is>
      </c>
      <c r="G26" s="21" t="inlineStr">
        <is>
          <t>Diff-Review</t>
        </is>
      </c>
      <c r="H26" s="22" t="inlineStr">
        <is>
          <t>PASS</t>
        </is>
      </c>
      <c r="I26" s="21" t="inlineStr"/>
    </row>
    <row r="27" ht="72" customHeight="1">
      <c r="A27" s="23" t="n">
        <v>20</v>
      </c>
      <c r="B27" s="24" t="inlineStr">
        <is>
          <t>Datenbank / Löschen</t>
        </is>
      </c>
      <c r="C27" s="24" t="inlineStr">
        <is>
          <t>PII-Dopplung, Aufbewahrung</t>
        </is>
      </c>
      <c r="D27" s="24" t="inlineStr">
        <is>
          <t>customers+bookings; Foto=Name</t>
        </is>
      </c>
      <c r="E27" s="24" t="inlineStr">
        <is>
          <t>Datenschutz Speicherdauer. Kein Auto-Delete von Belegen.</t>
        </is>
      </c>
      <c r="F27" s="24" t="inlineStr">
        <is>
          <t>datenschutz.tsx; bookings.functions.ts</t>
        </is>
      </c>
      <c r="G27" s="24" t="inlineStr">
        <is>
          <t>Code: Namen, keine Löschjobs</t>
        </is>
      </c>
      <c r="H27" s="25" t="inlineStr">
        <is>
          <t>MANUAL CHECK REQUIRED</t>
        </is>
      </c>
      <c r="I27" s="24" t="inlineStr">
        <is>
          <t>VVT/Löschkonzept Anwalt/Inhaber.</t>
        </is>
      </c>
    </row>
    <row r="28" ht="72" customHeight="1">
      <c r="A28" s="20" t="n">
        <v>21</v>
      </c>
      <c r="B28" s="21" t="inlineStr">
        <is>
          <t>USt-IdNr / Register</t>
        </is>
      </c>
      <c r="C28" s="21" t="inlineStr">
        <is>
          <t>Mögliche Pflichtangaben</t>
        </is>
      </c>
      <c r="D28" s="21" t="inlineStr">
        <is>
          <t>Im Repo nicht belegt</t>
        </is>
      </c>
      <c r="E28" s="21" t="inlineStr">
        <is>
          <t>Nichts erfunden.</t>
        </is>
      </c>
      <c r="F28" s="21" t="inlineStr">
        <is>
          <t>impressum.tsx</t>
        </is>
      </c>
      <c r="G28" s="21" t="inlineStr">
        <is>
          <t>Repo ohne belegte USt-IdNr/HR/W-IdNr</t>
        </is>
      </c>
      <c r="H28" s="25" t="inlineStr">
        <is>
          <t>MANUAL CHECK REQUIRED</t>
        </is>
      </c>
      <c r="I28" s="21" t="inlineStr">
        <is>
          <t>Falls vorhanden nachreichen.</t>
        </is>
      </c>
    </row>
    <row r="29" ht="72" customHeight="1">
      <c r="A29" s="23" t="n">
        <v>22</v>
      </c>
      <c r="B29" s="24" t="inlineStr">
        <is>
          <t>VSBG / BFSG</t>
        </is>
      </c>
      <c r="C29" s="24" t="inlineStr">
        <is>
          <t>Passt der Satz rechtlich?</t>
        </is>
      </c>
      <c r="D29" s="24" t="inlineStr">
        <is>
          <t>Schwellen nicht im Code</t>
        </is>
      </c>
      <c r="E29" s="24" t="inlineStr">
        <is>
          <t>Standard-Satz für nicht verpflichtete Unternehmer belassen. Keine Rechtsberatung.</t>
        </is>
      </c>
      <c r="F29" s="24" t="inlineStr">
        <is>
          <t>impressum.tsx</t>
        </is>
      </c>
      <c r="G29" s="24" t="inlineStr">
        <is>
          <t>Text da; Passgenauigkeit nicht code-testbar</t>
        </is>
      </c>
      <c r="H29" s="25" t="inlineStr">
        <is>
          <t>MANUAL CHECK REQUIRED</t>
        </is>
      </c>
      <c r="I29" s="24" t="inlineStr">
        <is>
          <t>Anwalt.</t>
        </is>
      </c>
    </row>
    <row r="30" ht="72" customHeight="1">
      <c r="A30" s="20" t="n">
        <v>23</v>
      </c>
      <c r="B30" s="21" t="inlineStr">
        <is>
          <t>Live vs Repository</t>
        </is>
      </c>
      <c r="C30" s="21" t="inlineStr">
        <is>
          <t>Fix darf nicht als online gelten</t>
        </is>
      </c>
      <c r="D30" s="21" t="inlineStr">
        <is>
          <t>PR nicht gemerged</t>
        </is>
      </c>
      <c r="E30" s="21" t="inlineStr">
        <is>
          <t>Nicht behaupten, der Fix sei live. SHA c3f2475 vs Live mit ODR.</t>
        </is>
      </c>
      <c r="F30" s="21" t="inlineStr">
        <is>
          <t>PR 99</t>
        </is>
      </c>
      <c r="G30" s="21" t="inlineStr">
        <is>
          <t>Live-Smoke 31.08.2026 ODR/wg-cookie/Alt-Upload</t>
        </is>
      </c>
      <c r="H30" s="26" t="inlineStr">
        <is>
          <t>FAIL</t>
        </is>
      </c>
      <c r="I30" s="21" t="inlineStr">
        <is>
          <t>Nach Deploy Smoke + B16.</t>
        </is>
      </c>
    </row>
    <row r="31" ht="72" customHeight="1">
      <c r="A31" s="23" t="n">
        <v>24</v>
      </c>
      <c r="B31" s="24" t="inlineStr">
        <is>
          <t>Formulare UI-Fehlerfälle</t>
        </is>
      </c>
      <c r="C31" s="24" t="inlineStr">
        <is>
          <t>Leere Felder, oversize, Fake-IDs</t>
        </is>
      </c>
      <c r="D31" s="24" t="inlineStr">
        <is>
          <t>Server steht, UI nicht voll geklickt</t>
        </is>
      </c>
      <c r="E31" s="24" t="inlineStr">
        <is>
          <t>Zod-Limits, Honeypot, known IDs.</t>
        </is>
      </c>
      <c r="F31" s="24" t="inlineStr">
        <is>
          <t>bookings.functions.ts; configurator; photo-inquiry</t>
        </is>
      </c>
      <c r="G31" s="24" t="inlineStr">
        <is>
          <t>Schema PASS; UI-Matrix unvollständig</t>
        </is>
      </c>
      <c r="H31" s="25" t="inlineStr">
        <is>
          <t>MANUAL CHECK REQUIRED</t>
        </is>
      </c>
      <c r="I31" s="24" t="inlineStr"/>
    </row>
    <row r="32" ht="72" customHeight="1">
      <c r="A32" s="20" t="n">
        <v>25</v>
      </c>
      <c r="B32" s="21" t="inlineStr">
        <is>
          <t>Tastatur Rest-AA</t>
        </is>
      </c>
      <c r="C32" s="21" t="inlineStr">
        <is>
          <t>Menü, Slider, 200%-Zoom</t>
        </is>
      </c>
      <c r="D32" s="21" t="inlineStr">
        <is>
          <t>Auftrag volle Matrix</t>
        </is>
      </c>
      <c r="E32" s="21" t="inlineStr">
        <is>
          <t>Skip-Link PASS. Mobile-Fokusfalle erhalten. Kontrast PASS.</t>
        </is>
      </c>
      <c r="F32" s="21" t="inlineStr">
        <is>
          <t>site-chrome.tsx</t>
        </is>
      </c>
      <c r="G32" s="21" t="inlineStr">
        <is>
          <t>Playwright Tab Skip-Link</t>
        </is>
      </c>
      <c r="H32" s="25" t="inlineStr">
        <is>
          <t>MANUAL CHECK REQUIRED</t>
        </is>
      </c>
      <c r="I32" s="21" t="inlineStr">
        <is>
          <t>Slider/Zoom/SR Folgecheck.</t>
        </is>
      </c>
    </row>
    <row r="33" ht="72" customHeight="1">
      <c r="A33" s="23" t="n">
        <v>26</v>
      </c>
      <c r="B33" s="24" t="inlineStr">
        <is>
          <t>Lighthouse 3×</t>
        </is>
      </c>
      <c r="C33" s="24" t="inlineStr">
        <is>
          <t>Median Start/Preise/Leistungen/Abhol</t>
        </is>
      </c>
      <c r="D33" s="24" t="inlineStr">
        <is>
          <t>Nicht gegen Branch gemessen</t>
        </is>
      </c>
      <c r="E33" s="24" t="inlineStr">
        <is>
          <t>Workflow+Assertions vorbereitet.</t>
        </is>
      </c>
      <c r="F33" s="24" t="inlineStr">
        <is>
          <t>lighthouserc.*.cjs</t>
        </is>
      </c>
      <c r="G33" s="24" t="inlineStr">
        <is>
          <t>Nicht 3× gelaufen</t>
        </is>
      </c>
      <c r="H33" s="25" t="inlineStr">
        <is>
          <t>MANUAL CHECK REQUIRED</t>
        </is>
      </c>
      <c r="I33" s="24" t="inlineStr">
        <is>
          <t>Kein Cherry-Pick des besten Laufs.</t>
        </is>
      </c>
    </row>
    <row r="34" ht="72" customHeight="1">
      <c r="A34" s="20" t="n">
        <v>27</v>
      </c>
      <c r="B34" s="21" t="inlineStr">
        <is>
          <t>CWV Feld</t>
        </is>
      </c>
      <c r="C34" s="21" t="inlineStr">
        <is>
          <t>LCP/INP/CLS Feld</t>
        </is>
      </c>
      <c r="D34" s="21" t="inlineStr">
        <is>
          <t>Keine CrUX-Abfrage</t>
        </is>
      </c>
      <c r="E34" s="21" t="inlineStr">
        <is>
          <t>AVIF/WebP, Fonts, lazy Configurator nicht zerstört.</t>
        </is>
      </c>
      <c r="F34" s="21" t="inlineStr">
        <is>
          <t>media-src.ts; styles.css</t>
        </is>
      </c>
      <c r="G34" s="21" t="inlineStr">
        <is>
          <t>Keine Feldmessung</t>
        </is>
      </c>
      <c r="H34" s="25" t="inlineStr">
        <is>
          <t>MANUAL CHECK REQUIRED</t>
        </is>
      </c>
      <c r="I34" s="21" t="inlineStr">
        <is>
          <t>Search Console nach Deploy.</t>
        </is>
      </c>
    </row>
    <row r="35" ht="72" customHeight="1">
      <c r="A35" s="23" t="n">
        <v>28</v>
      </c>
      <c r="B35" s="24" t="inlineStr">
        <is>
          <t>Maps HAR Live</t>
        </is>
      </c>
      <c r="C35" s="24" t="inlineStr">
        <is>
          <t>Vor Klick keine Google-Requests</t>
        </is>
      </c>
      <c r="D35" s="24" t="inlineStr">
        <is>
          <t>Nur Code-Beweis</t>
        </is>
      </c>
      <c r="E35" s="24" t="inlineStr">
        <is>
          <t>iframe nur nach Klick. Keine Google-Fonts.</t>
        </is>
      </c>
      <c r="F35" s="24" t="inlineStr">
        <is>
          <t>workshop-map.tsx; public/fonts</t>
        </is>
      </c>
      <c r="G35" s="24" t="inlineStr">
        <is>
          <t>Code-Zweig</t>
        </is>
      </c>
      <c r="H35" s="25" t="inlineStr">
        <is>
          <t>MANUAL CHECK REQUIRED</t>
        </is>
      </c>
      <c r="I35" s="24" t="inlineStr">
        <is>
          <t>DevTools nach Deploy.</t>
        </is>
      </c>
    </row>
    <row r="36" ht="72" customHeight="1">
      <c r="A36" s="20" t="n">
        <v>29</v>
      </c>
      <c r="B36" s="21" t="inlineStr">
        <is>
          <t>Owner-Kanäle Env</t>
        </is>
      </c>
      <c r="C36" s="21" t="inlineStr">
        <is>
          <t>OWNER_* müssen Betreiber sein</t>
        </is>
      </c>
      <c r="D36" s="21" t="inlineStr">
        <is>
          <t>Env nicht ausgegeben</t>
        </is>
      </c>
      <c r="E36" s="21" t="inlineStr">
        <is>
          <t>Fallback Impressum-Mail und Geschäftsnummer. Telegram nur mit OWNER_TELEGRAM.</t>
        </is>
      </c>
      <c r="F36" s="21" t="inlineStr">
        <is>
          <t>ops.ts</t>
        </is>
      </c>
      <c r="G36" s="21" t="inlineStr">
        <is>
          <t>Unit Fallback ≠ Kunden-Tel</t>
        </is>
      </c>
      <c r="H36" s="25" t="inlineStr">
        <is>
          <t>MANUAL CHECK REQUIRED</t>
        </is>
      </c>
      <c r="I36" s="21" t="inlineStr">
        <is>
          <t>IONOS-Env prüfen, Werte nicht notieren.</t>
        </is>
      </c>
    </row>
    <row r="37" ht="72" customHeight="1">
      <c r="A37" s="23" t="n">
        <v>30</v>
      </c>
      <c r="B37" s="24" t="inlineStr">
        <is>
          <t>Outbound wirklich senden</t>
        </is>
      </c>
      <c r="C37" s="24" t="inlineStr">
        <is>
          <t>queued nicht als sent verkaufen</t>
        </is>
      </c>
      <c r="D37" s="24" t="inlineStr">
        <is>
          <t>Kein bestätigter Sender</t>
        </is>
      </c>
      <c r="E37" s="24" t="inlineStr">
        <is>
          <t>Status queued. Kein neuer WA-API-Call.</t>
        </is>
      </c>
      <c r="F37" s="24" t="inlineStr">
        <is>
          <t>ops.ts</t>
        </is>
      </c>
      <c r="G37" s="24" t="inlineStr">
        <is>
          <t>insert queued</t>
        </is>
      </c>
      <c r="H37" s="22" t="inlineStr">
        <is>
          <t>PASS</t>
        </is>
      </c>
      <c r="I37" s="24" t="inlineStr">
        <is>
          <t>Worker später: sent/failed.</t>
        </is>
      </c>
    </row>
    <row r="38" ht="72" customHeight="1">
      <c r="A38" s="20" t="n">
        <v>31</v>
      </c>
      <c r="B38" s="21" t="inlineStr">
        <is>
          <t>Regression Build/Routen</t>
        </is>
      </c>
      <c r="C38" s="21" t="inlineStr">
        <is>
          <t>test/typecheck/lint/build/Routen</t>
        </is>
      </c>
      <c r="D38" s="21" t="inlineStr">
        <is>
          <t>Pflicht nach Fixes</t>
        </is>
      </c>
      <c r="E38" s="21" t="inlineStr">
        <is>
          <t>27/27, tsc, eslint 0 err, vite build, 18 Routen 200, Sitemap 181.</t>
        </is>
      </c>
      <c r="F38" s="21" t="inlineStr">
        <is>
          <t>package.json; Diff</t>
        </is>
      </c>
      <c r="G38" s="21" t="inlineStr">
        <is>
          <t>Kommandos Exit 0</t>
        </is>
      </c>
      <c r="H38" s="22" t="inlineStr">
        <is>
          <t>PASS</t>
        </is>
      </c>
      <c r="I38" s="21" t="inlineStr">
        <is>
          <t>npm ci nicht extra (deps da).</t>
        </is>
      </c>
    </row>
    <row r="39" ht="72" customHeight="1">
      <c r="A39" s="23" t="n">
        <v>32</v>
      </c>
      <c r="B39" s="24" t="inlineStr">
        <is>
          <t>CSP unsafe-* Rest</t>
        </is>
      </c>
      <c r="C39" s="24" t="inlineStr">
        <is>
          <t>unsafe-inline/eval</t>
        </is>
      </c>
      <c r="D39" s="24" t="inlineStr">
        <is>
          <t>Framework</t>
        </is>
      </c>
      <c r="E39" s="24" t="inlineStr">
        <is>
          <t>Nicht aufgeweicht, nicht als behoben verkauft.</t>
        </is>
      </c>
      <c r="F39" s="24" t="inlineStr">
        <is>
          <t>security-headers.ts</t>
        </is>
      </c>
      <c r="G39" s="24" t="inlineStr">
        <is>
          <t>Diff ohne CSP-Change</t>
        </is>
      </c>
      <c r="H39" s="25" t="inlineStr">
        <is>
          <t>MANUAL CHECK REQUIRED</t>
        </is>
      </c>
      <c r="I39" s="24" t="inlineStr">
        <is>
          <t>Nonce-Folgeauftrag.</t>
        </is>
      </c>
    </row>
    <row r="40" ht="72" customHeight="1">
      <c r="A40" s="20" t="n">
        <v>33</v>
      </c>
      <c r="B40" s="21" t="inlineStr">
        <is>
          <t>Rate-Limit Multi-Instanz</t>
        </is>
      </c>
      <c r="C40" s="21" t="inlineStr">
        <is>
          <t>In-Memory Map</t>
        </is>
      </c>
      <c r="D40" s="21" t="inlineStr">
        <is>
          <t>Ein Node auf VPS</t>
        </is>
      </c>
      <c r="E40" s="21" t="inlineStr">
        <is>
          <t>Einfach, ohne Captcha.</t>
        </is>
      </c>
      <c r="F40" s="21" t="inlineStr">
        <is>
          <t>rate-limit.ts</t>
        </is>
      </c>
      <c r="G40" s="21" t="inlineStr">
        <is>
          <t>4. Request blockiert</t>
        </is>
      </c>
      <c r="H40" s="22" t="inlineStr">
        <is>
          <t>PASS</t>
        </is>
      </c>
      <c r="I40" s="21" t="inlineStr">
        <is>
          <t>Mehrere Nodes: Limit nicht global.</t>
        </is>
      </c>
    </row>
    <row r="41" ht="72" customHeight="1">
      <c r="A41" s="23" t="n">
        <v>34</v>
      </c>
      <c r="B41" s="24" t="inlineStr">
        <is>
          <t>Kein Merge / keine Secrets</t>
        </is>
      </c>
      <c r="C41" s="24" t="inlineStr">
        <is>
          <t>.env und Prod-Push</t>
        </is>
      </c>
      <c r="D41" s="24" t="inlineStr">
        <is>
          <t>Arbeitsregel</t>
        </is>
      </c>
      <c r="E41" s="24" t="inlineStr">
        <is>
          <t>PR 99 offen. .env nicht im Commit.</t>
        </is>
      </c>
      <c r="F41" s="24" t="inlineStr">
        <is>
          <t>git c3f2475; PR 99</t>
        </is>
      </c>
      <c r="G41" s="24" t="inlineStr">
        <is>
          <t>show --stat ohne .env</t>
        </is>
      </c>
      <c r="H41" s="22" t="inlineStr">
        <is>
          <t>PASS</t>
        </is>
      </c>
      <c r="I41" s="24" t="inlineStr"/>
    </row>
    <row r="42">
      <c r="A42" s="27" t="inlineStr">
        <is>
          <t>Summen (Formel)</t>
        </is>
      </c>
      <c r="B42" s="28" t="n"/>
      <c r="C42" s="28" t="n"/>
      <c r="D42" s="28" t="n"/>
      <c r="E42" s="28" t="n"/>
      <c r="F42" s="28" t="n"/>
      <c r="G42" s="29" t="n"/>
      <c r="H42" s="30">
        <f>COUNTIF(H8:H41,"PASS")&amp;" PASS / "&amp;COUNTIF(H8:H41,"FAIL")&amp;" FAIL / "&amp;COUNTIF(H8:H41,"BLOCKED")&amp;" BLOCKED / "&amp;COUNTIF(H8:H41,"MANUAL CHECK REQUIRED")&amp;" MANUAL"</f>
        <v/>
      </c>
      <c r="I42" s="29" t="n"/>
    </row>
  </sheetData>
  <autoFilter ref="A7:I41"/>
  <mergeCells count="4">
    <mergeCell ref="A3:I5"/>
    <mergeCell ref="H42:I42"/>
    <mergeCell ref="A1:F2"/>
    <mergeCell ref="A42:G42"/>
  </mergeCells>
  <conditionalFormatting sqref="H8:H41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"MANUAL CHECK REQUIRED"</formula>
    </cfRule>
  </conditionalFormatting>
  <dataValidations count="1">
    <dataValidation sqref="H8:H41" showDropDown="0" showInputMessage="0" showErrorMessage="0" allowBlank="0" type="list">
      <formula1>"PASS,FAIL,BLOCKED,MANUAL CHECK REQUIRED"</formula1>
    </dataValidation>
  </dataValidations>
  <pageMargins left="0.75" right="0.75" top="1" bottom="1" header="0.5" footer="0.5"/>
  <pageSetup orientation="landscape" paperSize="9" fitToHeight="0" fitToWidth="1"/>
  <headerFooter>
    <oddHeader>&amp;LWHITE GLOSS · Auditmatrix</oddHeader>
    <oddFooter>&amp;LWHITE GLOSS Produktion-Audit 31.08.2026 — keine Rechtsberatung&amp;RSeite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7A4D"/>
    <outlinePr summaryBelow="1" summaryRight="1"/>
    <pageSetUpPr fitToPage="1"/>
  </sheetPr>
  <dimension ref="A1:F2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42" customWidth="1" min="3" max="3"/>
    <col width="22" customWidth="1" min="4" max="4"/>
    <col width="24" customWidth="1" min="5" max="5"/>
    <col width="55" customWidth="1" min="6" max="6"/>
  </cols>
  <sheetData>
    <row r="1" ht="22" customHeight="1">
      <c r="A1" s="1" t="inlineStr">
        <is>
          <t>Qualitätstore — nur was wirklich gelaufen ist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3">
      <c r="A3" s="3" t="inlineStr">
        <is>
          <t>Keine PASS-Behauptung ohne Kommando oder Browserbeleg. Lighthouse-3er-Median dieses Branches wurde nicht gemessen.</t>
        </is>
      </c>
      <c r="B3" s="4" t="n"/>
      <c r="C3" s="4" t="n"/>
      <c r="D3" s="4" t="n"/>
      <c r="E3" s="4" t="n"/>
      <c r="F3" s="4" t="n"/>
    </row>
    <row r="4">
      <c r="A4" s="4" t="n"/>
      <c r="B4" s="4" t="n"/>
      <c r="C4" s="4" t="n"/>
      <c r="D4" s="4" t="n"/>
      <c r="E4" s="4" t="n"/>
      <c r="F4" s="4" t="n"/>
    </row>
    <row r="6">
      <c r="A6" s="19" t="inlineStr">
        <is>
          <t>Nr</t>
        </is>
      </c>
      <c r="B6" s="19" t="inlineStr">
        <is>
          <t>Gate</t>
        </is>
      </c>
      <c r="C6" s="19" t="inlineStr">
        <is>
          <t>Kommando / Methode</t>
        </is>
      </c>
      <c r="D6" s="19" t="inlineStr">
        <is>
          <t>Umgebung</t>
        </is>
      </c>
      <c r="E6" s="19" t="inlineStr">
        <is>
          <t>Ergebnis</t>
        </is>
      </c>
      <c r="F6" s="19" t="inlineStr">
        <is>
          <t>Beleg</t>
        </is>
      </c>
    </row>
    <row r="7" ht="32" customHeight="1">
      <c r="A7" s="21" t="n">
        <v>1</v>
      </c>
      <c r="B7" s="21" t="inlineStr">
        <is>
          <t>Unit-Tests</t>
        </is>
      </c>
      <c r="C7" s="21" t="inlineStr">
        <is>
          <t>npm test</t>
        </is>
      </c>
      <c r="D7" s="21" t="inlineStr">
        <is>
          <t>Branch c3f2475</t>
        </is>
      </c>
      <c r="E7" s="22" t="inlineStr">
        <is>
          <t>PASS</t>
        </is>
      </c>
      <c r="F7" s="21" t="inlineStr">
        <is>
          <t>27/27 pickup, ops, contrast, rate-limit, gate-identity</t>
        </is>
      </c>
    </row>
    <row r="8" ht="32" customHeight="1">
      <c r="A8" s="24" t="n">
        <v>2</v>
      </c>
      <c r="B8" s="24" t="inlineStr">
        <is>
          <t>TypeScript</t>
        </is>
      </c>
      <c r="C8" s="24" t="inlineStr">
        <is>
          <t>npm run typecheck</t>
        </is>
      </c>
      <c r="D8" s="24" t="inlineStr">
        <is>
          <t>Branch c3f2475</t>
        </is>
      </c>
      <c r="E8" s="22" t="inlineStr">
        <is>
          <t>PASS</t>
        </is>
      </c>
      <c r="F8" s="24" t="inlineStr">
        <is>
          <t>tsc --noEmit Exit 0</t>
        </is>
      </c>
    </row>
    <row r="9" ht="32" customHeight="1">
      <c r="A9" s="21" t="n">
        <v>3</v>
      </c>
      <c r="B9" s="21" t="inlineStr">
        <is>
          <t>Lint</t>
        </is>
      </c>
      <c r="C9" s="21" t="inlineStr">
        <is>
          <t>npm run lint</t>
        </is>
      </c>
      <c r="D9" s="21" t="inlineStr">
        <is>
          <t>Branch c3f2475</t>
        </is>
      </c>
      <c r="E9" s="22" t="inlineStr">
        <is>
          <t>PASS</t>
        </is>
      </c>
      <c r="F9" s="21" t="inlineStr">
        <is>
          <t>0 errors, 4 vorbestehende warnings</t>
        </is>
      </c>
    </row>
    <row r="10" ht="32" customHeight="1">
      <c r="A10" s="24" t="n">
        <v>4</v>
      </c>
      <c r="B10" s="24" t="inlineStr">
        <is>
          <t>Production Build</t>
        </is>
      </c>
      <c r="C10" s="24" t="inlineStr">
        <is>
          <t>npm run build</t>
        </is>
      </c>
      <c r="D10" s="24" t="inlineStr">
        <is>
          <t>Branch c3f2475</t>
        </is>
      </c>
      <c r="E10" s="22" t="inlineStr">
        <is>
          <t>PASS</t>
        </is>
      </c>
      <c r="F10" s="24" t="inlineStr">
        <is>
          <t>Vite client+SSR, Nitro</t>
        </is>
      </c>
    </row>
    <row r="11" ht="32" customHeight="1">
      <c r="A11" s="21" t="n">
        <v>5</v>
      </c>
      <c r="B11" s="21" t="inlineStr">
        <is>
          <t>Lokale Routen</t>
        </is>
      </c>
      <c r="C11" s="21" t="inlineStr">
        <is>
          <t>HTTP GET 18 Pfade</t>
        </is>
      </c>
      <c r="D11" s="21" t="inlineStr">
        <is>
          <t>Preview :8080</t>
        </is>
      </c>
      <c r="E11" s="22" t="inlineStr">
        <is>
          <t>PASS</t>
        </is>
      </c>
      <c r="F11" s="21" t="inlineStr">
        <is>
          <t>200, keine ODR/wg-cookie/Alt-Upload</t>
        </is>
      </c>
    </row>
    <row r="12" ht="32" customHeight="1">
      <c r="A12" s="24" t="n">
        <v>6</v>
      </c>
      <c r="B12" s="24" t="inlineStr">
        <is>
          <t>Lokaler Smoke-Script</t>
        </is>
      </c>
      <c r="C12" s="24" t="inlineStr">
        <is>
          <t>SMOKE_BASE_URL lokal</t>
        </is>
      </c>
      <c r="D12" s="24" t="inlineStr">
        <is>
          <t>Dev</t>
        </is>
      </c>
      <c r="E12" s="26" t="inlineStr">
        <is>
          <t>FAIL (erwartet)</t>
        </is>
      </c>
      <c r="F12" s="24" t="inlineStr">
        <is>
          <t>Canonical zeigt auf white-gloss.de; Dev ohne HSTS</t>
        </is>
      </c>
    </row>
    <row r="13" ht="32" customHeight="1">
      <c r="A13" s="21" t="n">
        <v>7</v>
      </c>
      <c r="B13" s="21" t="inlineStr">
        <is>
          <t>Live-Smoke</t>
        </is>
      </c>
      <c r="C13" s="21" t="inlineStr">
        <is>
          <t>npm run smoke:production</t>
        </is>
      </c>
      <c r="D13" s="21" t="inlineStr">
        <is>
          <t>white-gloss.de</t>
        </is>
      </c>
      <c r="E13" s="26" t="inlineStr">
        <is>
          <t>FAIL</t>
        </is>
      </c>
      <c r="F13" s="21" t="inlineStr">
        <is>
          <t>ODR, wg-cookie, Alt-Upload — alter Stand</t>
        </is>
      </c>
    </row>
    <row r="14" ht="32" customHeight="1">
      <c r="A14" s="24" t="n">
        <v>8</v>
      </c>
      <c r="B14" s="24" t="inlineStr">
        <is>
          <t>Skip-Link</t>
        </is>
      </c>
      <c r="C14" s="24" t="inlineStr">
        <is>
          <t>Playwright Tab</t>
        </is>
      </c>
      <c r="D14" s="24" t="inlineStr">
        <is>
          <t>Preview</t>
        </is>
      </c>
      <c r="E14" s="22" t="inlineStr">
        <is>
          <t>PASS</t>
        </is>
      </c>
      <c r="F14" s="24" t="inlineStr">
        <is>
          <t>Fokus Zum Inhalt springen</t>
        </is>
      </c>
    </row>
    <row r="15" ht="32" customHeight="1">
      <c r="A15" s="21" t="n">
        <v>9</v>
      </c>
      <c r="B15" s="21" t="inlineStr">
        <is>
          <t>Cookie-Banner</t>
        </is>
      </c>
      <c r="C15" s="21" t="inlineStr">
        <is>
          <t>Playwright</t>
        </is>
      </c>
      <c r="D15" s="21" t="inlineStr">
        <is>
          <t>Preview</t>
        </is>
      </c>
      <c r="E15" s="22" t="inlineStr">
        <is>
          <t>PASS</t>
        </is>
      </c>
      <c r="F15" s="21" t="inlineStr">
        <is>
          <t>Kein Hinweis</t>
        </is>
      </c>
    </row>
    <row r="16" ht="32" customHeight="1">
      <c r="A16" s="24" t="n">
        <v>10</v>
      </c>
      <c r="B16" s="24" t="inlineStr">
        <is>
          <t>Maps-Button</t>
        </is>
      </c>
      <c r="C16" s="24" t="inlineStr">
        <is>
          <t>getByRole</t>
        </is>
      </c>
      <c r="D16" s="24" t="inlineStr">
        <is>
          <t>Preview</t>
        </is>
      </c>
      <c r="E16" s="22" t="inlineStr">
        <is>
          <t>PASS</t>
        </is>
      </c>
      <c r="F16" s="24" t="inlineStr">
        <is>
          <t>Wortlaut Daten an Google</t>
        </is>
      </c>
    </row>
    <row r="17" ht="32" customHeight="1">
      <c r="A17" s="21" t="n">
        <v>11</v>
      </c>
      <c r="B17" s="21" t="inlineStr">
        <is>
          <t>Impressum</t>
        </is>
      </c>
      <c r="C17" s="21" t="inlineStr">
        <is>
          <t>Playwright</t>
        </is>
      </c>
      <c r="D17" s="21" t="inlineStr">
        <is>
          <t>Preview</t>
        </is>
      </c>
      <c r="E17" s="22" t="inlineStr">
        <is>
          <t>PASS</t>
        </is>
      </c>
      <c r="F17" s="21" t="inlineStr">
        <is>
          <t>kein ODR, VSBG, OS nicht betrieben</t>
        </is>
      </c>
    </row>
    <row r="18" ht="32" customHeight="1">
      <c r="A18" s="24" t="n">
        <v>12</v>
      </c>
      <c r="B18" s="24" t="inlineStr">
        <is>
          <t>Datenschutz</t>
        </is>
      </c>
      <c r="C18" s="24" t="inlineStr">
        <is>
          <t>Playwright</t>
        </is>
      </c>
      <c r="D18" s="24" t="inlineStr">
        <is>
          <t>Preview</t>
        </is>
      </c>
      <c r="E18" s="22" t="inlineStr">
        <is>
          <t>PASS</t>
        </is>
      </c>
      <c r="F18" s="24" t="inlineStr">
        <is>
          <t>kein wg-cookie, nicht hochgeladen</t>
        </is>
      </c>
    </row>
    <row r="19" ht="32" customHeight="1">
      <c r="A19" s="21" t="n">
        <v>13</v>
      </c>
      <c r="B19" s="21" t="inlineStr">
        <is>
          <t>Preise</t>
        </is>
      </c>
      <c r="C19" s="21" t="inlineStr">
        <is>
          <t>Playwright</t>
        </is>
      </c>
      <c r="D19" s="21" t="inlineStr">
        <is>
          <t>Preview</t>
        </is>
      </c>
      <c r="E19" s="22" t="inlineStr">
        <is>
          <t>PASS</t>
        </is>
      </c>
      <c r="F19" s="21" t="inlineStr">
        <is>
          <t>Staffel 10/20/50 km, Keramik 60 km</t>
        </is>
      </c>
    </row>
    <row r="20" ht="32" customHeight="1">
      <c r="A20" s="24" t="n">
        <v>14</v>
      </c>
      <c r="B20" s="24" t="inlineStr">
        <is>
          <t>Zustand</t>
        </is>
      </c>
      <c r="C20" s="24" t="inlineStr">
        <is>
          <t>Playwright</t>
        </is>
      </c>
      <c r="D20" s="24" t="inlineStr">
        <is>
          <t>Preview</t>
        </is>
      </c>
      <c r="E20" s="22" t="inlineStr">
        <is>
          <t>PASS</t>
        </is>
      </c>
      <c r="F20" s="24" t="inlineStr">
        <is>
          <t>Dateien auf dem Gerät / Dateinamen</t>
        </is>
      </c>
    </row>
    <row r="21" ht="32" customHeight="1">
      <c r="A21" s="21" t="n">
        <v>15</v>
      </c>
      <c r="B21" s="21" t="inlineStr">
        <is>
          <t>Kontrast</t>
        </is>
      </c>
      <c r="C21" s="21" t="inlineStr">
        <is>
          <t>contrast.test + Blatt Kontrast</t>
        </is>
      </c>
      <c r="D21" s="21" t="inlineStr">
        <is>
          <t>Unit</t>
        </is>
      </c>
      <c r="E21" s="22" t="inlineStr">
        <is>
          <t>PASS</t>
        </is>
      </c>
      <c r="F21" s="21" t="inlineStr">
        <is>
          <t>Formeln auf Blatt Kontrast</t>
        </is>
      </c>
    </row>
    <row r="22" ht="32" customHeight="1">
      <c r="A22" s="24" t="n">
        <v>16</v>
      </c>
      <c r="B22" s="24" t="inlineStr">
        <is>
          <t>Lighthouse 3× Median</t>
        </is>
      </c>
      <c r="C22" s="24" t="inlineStr">
        <is>
          <t>lhci autorun</t>
        </is>
      </c>
      <c r="D22" s="24" t="inlineStr">
        <is>
          <t>nicht gegen Branch</t>
        </is>
      </c>
      <c r="E22" s="25" t="inlineStr">
        <is>
          <t>MANUAL CHECK REQUIRED</t>
        </is>
      </c>
      <c r="F22" s="24" t="inlineStr">
        <is>
          <t>CI verdrahtet, Lauf nach Deploy</t>
        </is>
      </c>
    </row>
    <row r="23" ht="32" customHeight="1">
      <c r="A23" s="21" t="n">
        <v>17</v>
      </c>
      <c r="B23" s="21" t="inlineStr">
        <is>
          <t>Live = Commit</t>
        </is>
      </c>
      <c r="C23" s="21" t="inlineStr">
        <is>
          <t>Inhalt vs SHA</t>
        </is>
      </c>
      <c r="D23" s="21" t="inlineStr">
        <is>
          <t>white-gloss.de</t>
        </is>
      </c>
      <c r="E23" s="26" t="inlineStr">
        <is>
          <t>FAIL</t>
        </is>
      </c>
      <c r="F23" s="21" t="inlineStr">
        <is>
          <t>Live ≠ c3f2475</t>
        </is>
      </c>
    </row>
    <row r="25">
      <c r="A25" s="5" t="inlineStr">
        <is>
          <t>PASS-Gates</t>
        </is>
      </c>
      <c r="B25" s="9">
        <f>COUNTIF(E7:E23,"PASS")</f>
        <v/>
      </c>
    </row>
    <row r="26">
      <c r="A26" s="5" t="inlineStr">
        <is>
          <t>FAIL-Gates</t>
        </is>
      </c>
      <c r="B26" s="9">
        <f>COUNTIF(E7:E23,"FAIL")+COUNTIF(E7:E23,"FAIL (erwartet)")</f>
        <v/>
      </c>
    </row>
    <row r="27">
      <c r="A27" s="5" t="inlineStr">
        <is>
          <t>MANUAL</t>
        </is>
      </c>
      <c r="B27" s="9">
        <f>COUNTIF(E7:E23,"MANUAL CHECK REQUIRED")</f>
        <v/>
      </c>
    </row>
  </sheetData>
  <mergeCells count="2">
    <mergeCell ref="A3:F4"/>
    <mergeCell ref="A1:F2"/>
  </mergeCells>
  <pageMargins left="0.75" right="0.75" top="1" bottom="1" header="0.5" footer="0.5"/>
  <pageSetup orientation="landscape" paperSize="9" fitToHeight="0" fitToWidth="1"/>
  <headerFooter>
    <oddHeader>&amp;LWHITE GLOSS · Qualitätstore</oddHeader>
    <oddFooter>&amp;LWHITE GLOSS Produktion-Audit 31.08.2026 — keine Rechtsberatung&amp;RSeite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C4A574"/>
    <outlinePr summaryBelow="1" summaryRight="1"/>
    <pageSetUpPr fitToPage="1"/>
  </sheetPr>
  <dimension ref="A1:F2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6" customWidth="1" min="3" max="3"/>
    <col width="22" customWidth="1" min="4" max="4"/>
    <col width="48" customWidth="1" min="5" max="5"/>
    <col width="24" customWidth="1" min="6" max="6"/>
  </cols>
  <sheetData>
    <row r="1" ht="22" customHeight="1">
      <c r="A1" s="1" t="inlineStr">
        <is>
          <t>Offene manuelle Punkte — nichts davon erfunden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6">
      <c r="A6" s="19" t="inlineStr">
        <is>
          <t>Nr</t>
        </is>
      </c>
      <c r="B6" s="19" t="inlineStr">
        <is>
          <t>Thema</t>
        </is>
      </c>
      <c r="C6" s="19" t="inlineStr">
        <is>
          <t>Warum offen</t>
        </is>
      </c>
      <c r="D6" s="19" t="inlineStr">
        <is>
          <t>Wer</t>
        </is>
      </c>
      <c r="E6" s="19" t="inlineStr">
        <is>
          <t>Nächster Schritt</t>
        </is>
      </c>
      <c r="F6" s="19" t="inlineStr">
        <is>
          <t>Status</t>
        </is>
      </c>
    </row>
    <row r="7" ht="36" customHeight="1">
      <c r="A7" s="21" t="n">
        <v>1</v>
      </c>
      <c r="B7" s="21" t="inlineStr">
        <is>
          <t>USt-IdNr.</t>
        </is>
      </c>
      <c r="C7" s="21" t="inlineStr">
        <is>
          <t>Im Repo nicht belegt</t>
        </is>
      </c>
      <c r="D7" s="21" t="inlineStr">
        <is>
          <t>Inhaber / Steuerberatung</t>
        </is>
      </c>
      <c r="E7" s="21" t="inlineStr">
        <is>
          <t>Nur eintragen wenn vorhanden.</t>
        </is>
      </c>
      <c r="F7" s="25" t="inlineStr">
        <is>
          <t>MANUAL CHECK REQUIRED</t>
        </is>
      </c>
    </row>
    <row r="8" ht="36" customHeight="1">
      <c r="A8" s="24" t="n">
        <v>2</v>
      </c>
      <c r="B8" s="24" t="inlineStr">
        <is>
          <t>Wirtschafts-ID</t>
        </is>
      </c>
      <c r="C8" s="24" t="inlineStr">
        <is>
          <t>Nicht im Repo</t>
        </is>
      </c>
      <c r="D8" s="24" t="inlineStr">
        <is>
          <t>Inhaber</t>
        </is>
      </c>
      <c r="E8" s="24" t="inlineStr">
        <is>
          <t>Nur nach Zuteilung.</t>
        </is>
      </c>
      <c r="F8" s="25" t="inlineStr">
        <is>
          <t>MANUAL CHECK REQUIRED</t>
        </is>
      </c>
    </row>
    <row r="9" ht="36" customHeight="1">
      <c r="A9" s="21" t="n">
        <v>3</v>
      </c>
      <c r="B9" s="21" t="inlineStr">
        <is>
          <t>Handelsregister</t>
        </is>
      </c>
      <c r="C9" s="21" t="inlineStr">
        <is>
          <t>Einzelunternehmen, nicht belegt</t>
        </is>
      </c>
      <c r="D9" s="21" t="inlineStr">
        <is>
          <t>Inhaber</t>
        </is>
      </c>
      <c r="E9" s="21" t="inlineStr">
        <is>
          <t>Nur wenn eingetragen.</t>
        </is>
      </c>
      <c r="F9" s="25" t="inlineStr">
        <is>
          <t>MANUAL CHECK REQUIRED</t>
        </is>
      </c>
    </row>
    <row r="10" ht="36" customHeight="1">
      <c r="A10" s="24" t="n">
        <v>4</v>
      </c>
      <c r="B10" s="24" t="inlineStr">
        <is>
          <t>VSBG-Pflicht</t>
        </is>
      </c>
      <c r="C10" s="24" t="inlineStr">
        <is>
          <t>Schwellen unbekannt</t>
        </is>
      </c>
      <c r="D10" s="24" t="inlineStr">
        <is>
          <t>Anwalt</t>
        </is>
      </c>
      <c r="E10" s="24" t="inlineStr">
        <is>
          <t>Satz prüfen. OS-Hinweis faktisch korrekt.</t>
        </is>
      </c>
      <c r="F10" s="25" t="inlineStr">
        <is>
          <t>MANUAL CHECK REQUIRED</t>
        </is>
      </c>
    </row>
    <row r="11" ht="36" customHeight="1">
      <c r="A11" s="21" t="n">
        <v>5</v>
      </c>
      <c r="B11" s="21" t="inlineStr">
        <is>
          <t>BFSG</t>
        </is>
      </c>
      <c r="C11" s="21" t="inlineStr">
        <is>
          <t>Geltung abhängig von Größe</t>
        </is>
      </c>
      <c r="D11" s="21" t="inlineStr">
        <is>
          <t>Anwalt</t>
        </is>
      </c>
      <c r="E11" s="21" t="inlineStr">
        <is>
          <t>Technisch AA; Rechtspflicht klären.</t>
        </is>
      </c>
      <c r="F11" s="25" t="inlineStr">
        <is>
          <t>MANUAL CHECK REQUIRED</t>
        </is>
      </c>
    </row>
    <row r="12" ht="36" customHeight="1">
      <c r="A12" s="24" t="n">
        <v>6</v>
      </c>
      <c r="B12" s="24" t="inlineStr">
        <is>
          <t>Operator-PIN</t>
        </is>
      </c>
      <c r="C12" s="24" t="inlineStr">
        <is>
          <t>Default wird abgelehnt</t>
        </is>
      </c>
      <c r="D12" s="24" t="inlineStr">
        <is>
          <t>Inhaber im Panel</t>
        </is>
      </c>
      <c r="E12" s="24" t="inlineStr">
        <is>
          <t>Eigenen PIN ≠ WG-BETRIEB setzen.</t>
        </is>
      </c>
      <c r="F12" s="25" t="inlineStr">
        <is>
          <t>MANUAL CHECK REQUIRED</t>
        </is>
      </c>
    </row>
    <row r="13" ht="36" customHeight="1">
      <c r="A13" s="21" t="n">
        <v>7</v>
      </c>
      <c r="B13" s="21" t="inlineStr">
        <is>
          <t>OWNER_* Env</t>
        </is>
      </c>
      <c r="C13" s="21" t="inlineStr">
        <is>
          <t>Nicht ausgegeben</t>
        </is>
      </c>
      <c r="D13" s="21" t="inlineStr">
        <is>
          <t>Hosting</t>
        </is>
      </c>
      <c r="E13" s="21" t="inlineStr">
        <is>
          <t>Ziele = Betreiberkanäle.</t>
        </is>
      </c>
      <c r="F13" s="25" t="inlineStr">
        <is>
          <t>MANUAL CHECK REQUIRED</t>
        </is>
      </c>
    </row>
    <row r="14" ht="36" customHeight="1">
      <c r="A14" s="24" t="n">
        <v>8</v>
      </c>
      <c r="B14" s="24" t="inlineStr">
        <is>
          <t>IONOS-Deploy SHA</t>
        </is>
      </c>
      <c r="C14" s="24" t="inlineStr">
        <is>
          <t>PR offen</t>
        </is>
      </c>
      <c r="D14" s="24" t="inlineStr">
        <is>
          <t>Inhaber</t>
        </is>
      </c>
      <c r="E14" s="24" t="inlineStr">
        <is>
          <t>PR 99 mergen, deployen, Smoke.</t>
        </is>
      </c>
      <c r="F14" s="26" t="inlineStr">
        <is>
          <t>FAIL</t>
        </is>
      </c>
    </row>
    <row r="15" ht="36" customHeight="1">
      <c r="A15" s="21" t="n">
        <v>9</v>
      </c>
      <c r="B15" s="21" t="inlineStr">
        <is>
          <t>Lighthouse-Median</t>
        </is>
      </c>
      <c r="C15" s="21" t="inlineStr">
        <is>
          <t>Nicht 3× gegen Branch</t>
        </is>
      </c>
      <c r="D15" s="21" t="inlineStr">
        <is>
          <t>CI</t>
        </is>
      </c>
      <c r="E15" s="21" t="inlineStr">
        <is>
          <t>Nach Deploy, keinen Bestlauf cherrypicken.</t>
        </is>
      </c>
      <c r="F15" s="25" t="inlineStr">
        <is>
          <t>MANUAL CHECK REQUIRED</t>
        </is>
      </c>
    </row>
    <row r="16" ht="36" customHeight="1">
      <c r="A16" s="24" t="n">
        <v>10</v>
      </c>
      <c r="B16" s="24" t="inlineStr">
        <is>
          <t>Maps HAR</t>
        </is>
      </c>
      <c r="C16" s="24" t="inlineStr">
        <is>
          <t>Nur Code</t>
        </is>
      </c>
      <c r="D16" s="24" t="inlineStr">
        <is>
          <t>DevTools</t>
        </is>
      </c>
      <c r="E16" s="24" t="inlineStr">
        <is>
          <t>Vor Klick keine Google-Maps-Requests.</t>
        </is>
      </c>
      <c r="F16" s="25" t="inlineStr">
        <is>
          <t>MANUAL CHECK REQUIRED</t>
        </is>
      </c>
    </row>
    <row r="17" ht="36" customHeight="1">
      <c r="A17" s="21" t="n">
        <v>11</v>
      </c>
      <c r="B17" s="21" t="inlineStr">
        <is>
          <t>AVV IONOS/Meta/Google</t>
        </is>
      </c>
      <c r="C17" s="21" t="inlineStr">
        <is>
          <t>Verträge nicht im Repo</t>
        </is>
      </c>
      <c r="D17" s="21" t="inlineStr">
        <is>
          <t>Inhaber</t>
        </is>
      </c>
      <c r="E17" s="21" t="inlineStr">
        <is>
          <t>AVV/TOMs vorhalten.</t>
        </is>
      </c>
      <c r="F17" s="25" t="inlineStr">
        <is>
          <t>MANUAL CHECK REQUIRED</t>
        </is>
      </c>
    </row>
    <row r="18" ht="36" customHeight="1">
      <c r="A18" s="24" t="n">
        <v>12</v>
      </c>
      <c r="B18" s="24" t="inlineStr">
        <is>
          <t>Löschkonzept / VVT</t>
        </is>
      </c>
      <c r="C18" s="24" t="inlineStr">
        <is>
          <t>Nur generische Speicherdauer</t>
        </is>
      </c>
      <c r="D18" s="24" t="inlineStr">
        <is>
          <t>Datenschutz</t>
        </is>
      </c>
      <c r="E18" s="24" t="inlineStr">
        <is>
          <t>Anfrage vs. Belegfristen trennen.</t>
        </is>
      </c>
      <c r="F18" s="25" t="inlineStr">
        <is>
          <t>MANUAL CHECK REQUIRED</t>
        </is>
      </c>
    </row>
    <row r="19" ht="36" customHeight="1">
      <c r="A19" s="21" t="n">
        <v>13</v>
      </c>
      <c r="B19" s="21" t="inlineStr">
        <is>
          <t>Outbound-Worker</t>
        </is>
      </c>
      <c r="C19" s="21" t="inlineStr">
        <is>
          <t>Kein Sender</t>
        </is>
      </c>
      <c r="D19" s="21" t="inlineStr">
        <is>
          <t>Entwicklung</t>
        </is>
      </c>
      <c r="E19" s="21" t="inlineStr">
        <is>
          <t>queued bis Adapter echt sendet.</t>
        </is>
      </c>
      <c r="F19" s="22" t="inlineStr">
        <is>
          <t>PASS</t>
        </is>
      </c>
    </row>
    <row r="20" ht="36" customHeight="1">
      <c r="A20" s="24" t="n">
        <v>14</v>
      </c>
      <c r="B20" s="24" t="inlineStr">
        <is>
          <t>CSP ohne unsafe-*</t>
        </is>
      </c>
      <c r="C20" s="24" t="inlineStr">
        <is>
          <t>Framework</t>
        </is>
      </c>
      <c r="D20" s="24" t="inlineStr">
        <is>
          <t>Entwicklung</t>
        </is>
      </c>
      <c r="E20" s="24" t="inlineStr">
        <is>
          <t>Nonce-Folgeauftrag.</t>
        </is>
      </c>
      <c r="F20" s="25" t="inlineStr">
        <is>
          <t>MANUAL CHECK REQUIRED</t>
        </is>
      </c>
    </row>
    <row r="22">
      <c r="A22" s="5" t="inlineStr">
        <is>
          <t>Offen (MANUAL+FAIL)</t>
        </is>
      </c>
      <c r="B22" s="31">
        <f>COUNTIF(F7:F20,"MANUAL CHECK REQUIRED")+COUNTIF(F7:F20,"FAIL")</f>
        <v/>
      </c>
    </row>
  </sheetData>
  <mergeCells count="1">
    <mergeCell ref="A1:F2"/>
  </mergeCells>
  <pageMargins left="0.75" right="0.75" top="1" bottom="1" header="0.5" footer="0.5"/>
  <pageSetup orientation="landscape" paperSize="9" fitToHeight="0" fitToWidth="1"/>
  <headerFooter>
    <oddHeader>&amp;LWHITE GLOSS · Offene Punkte</oddHeader>
    <oddFooter>&amp;LWHITE GLOSS Produktion-Audit 31.08.2026 — keine Rechtsberatung&amp;RSeite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B2C2C"/>
    <outlinePr summaryBelow="1" summaryRight="1"/>
    <pageSetUpPr fitToPage="1"/>
  </sheetPr>
  <dimension ref="A1:F1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52" customWidth="1" min="2" max="2"/>
    <col width="16" customWidth="1" min="3" max="3"/>
    <col width="18" customWidth="1" min="4" max="4"/>
    <col width="40" customWidth="1" min="5" max="5"/>
    <col width="36" customWidth="1" min="6" max="6"/>
  </cols>
  <sheetData>
    <row r="1" ht="22" customHeight="1">
      <c r="A1" s="1" t="inlineStr">
        <is>
          <t>Verbleibende Risiken nach diesem PR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6">
      <c r="A6" s="19" t="inlineStr">
        <is>
          <t>ID</t>
        </is>
      </c>
      <c r="B6" s="19" t="inlineStr">
        <is>
          <t>Risiko</t>
        </is>
      </c>
      <c r="C6" s="19" t="inlineStr">
        <is>
          <t>Schwere</t>
        </is>
      </c>
      <c r="D6" s="19" t="inlineStr">
        <is>
          <t>Wahrscheinlichkeit</t>
        </is>
      </c>
      <c r="E6" s="19" t="inlineStr">
        <is>
          <t>Mitigation</t>
        </is>
      </c>
      <c r="F6" s="19" t="inlineStr">
        <is>
          <t>Rest</t>
        </is>
      </c>
    </row>
    <row r="7" ht="40" customHeight="1">
      <c r="A7" s="21" t="inlineStr">
        <is>
          <t>R1</t>
        </is>
      </c>
      <c r="B7" s="21" t="inlineStr">
        <is>
          <t>Live zeigt ODR / Alt-Upload / wg-cookie bis Deploy</t>
        </is>
      </c>
      <c r="C7" s="32" t="inlineStr">
        <is>
          <t>hoch</t>
        </is>
      </c>
      <c r="D7" s="21" t="inlineStr">
        <is>
          <t>sicher bis Merge</t>
        </is>
      </c>
      <c r="E7" s="21" t="inlineStr">
        <is>
          <t>Fix im Branch, Smoke verbietet Altlasten</t>
        </is>
      </c>
      <c r="F7" s="21" t="inlineStr">
        <is>
          <t>Mergen+deployen</t>
        </is>
      </c>
    </row>
    <row r="8" ht="40" customHeight="1">
      <c r="A8" s="24" t="inlineStr">
        <is>
          <t>R2</t>
        </is>
      </c>
      <c r="B8" s="24" t="inlineStr">
        <is>
          <t>Operator-Webhook nur PIN, Default war bekannt</t>
        </is>
      </c>
      <c r="C8" s="32" t="inlineStr">
        <is>
          <t>hoch</t>
        </is>
      </c>
      <c r="D8" s="24" t="inlineStr">
        <is>
          <t>mittel</t>
        </is>
      </c>
      <c r="E8" s="24" t="inlineStr">
        <is>
          <t>Default tot, Rate-Limit, eigener PIN</t>
        </is>
      </c>
      <c r="F8" s="24" t="inlineStr">
        <is>
          <t>PIN &lt; Session-Auth</t>
        </is>
      </c>
    </row>
    <row r="9" ht="40" customHeight="1">
      <c r="A9" s="21" t="inlineStr">
        <is>
          <t>R3</t>
        </is>
      </c>
      <c r="B9" s="21" t="inlineStr">
        <is>
          <t>CSP unsafe-inline/eval</t>
        </is>
      </c>
      <c r="C9" s="21" t="inlineStr">
        <is>
          <t>mittel</t>
        </is>
      </c>
      <c r="D9" s="21" t="inlineStr">
        <is>
          <t>bestehend</t>
        </is>
      </c>
      <c r="E9" s="21" t="inlineStr">
        <is>
          <t>Nicht weiter aufgeweicht</t>
        </is>
      </c>
      <c r="F9" s="21" t="inlineStr">
        <is>
          <t>XSS-Oberfläche</t>
        </is>
      </c>
    </row>
    <row r="10" ht="40" customHeight="1">
      <c r="A10" s="24" t="inlineStr">
        <is>
          <t>R4</t>
        </is>
      </c>
      <c r="B10" s="24" t="inlineStr">
        <is>
          <t>In-Memory Rate-Limit</t>
        </is>
      </c>
      <c r="C10" s="24" t="inlineStr">
        <is>
          <t>niedrig-mittel</t>
        </is>
      </c>
      <c r="D10" s="24" t="inlineStr">
        <is>
          <t>Multi-Prozess</t>
        </is>
      </c>
      <c r="E10" s="24" t="inlineStr">
        <is>
          <t>pro Node wirksam</t>
        </is>
      </c>
      <c r="F10" s="24" t="inlineStr">
        <is>
          <t>verteilt umgehbar</t>
        </is>
      </c>
    </row>
    <row r="11" ht="40" customHeight="1">
      <c r="A11" s="21" t="inlineStr">
        <is>
          <t>R5</t>
        </is>
      </c>
      <c r="B11" s="21" t="inlineStr">
        <is>
          <t>Keine echte Mail/WA-Zustellung</t>
        </is>
      </c>
      <c r="C11" s="21" t="inlineStr">
        <is>
          <t>mittel</t>
        </is>
      </c>
      <c r="D11" s="21" t="inlineStr">
        <is>
          <t>sicher</t>
        </is>
      </c>
      <c r="E11" s="21" t="inlineStr">
        <is>
          <t>Status queued, ehrliche Texte</t>
        </is>
      </c>
      <c r="F11" s="21" t="inlineStr">
        <is>
          <t>Kunde ohne Auto-Mail</t>
        </is>
      </c>
    </row>
    <row r="12" ht="40" customHeight="1">
      <c r="A12" s="24" t="inlineStr">
        <is>
          <t>R6</t>
        </is>
      </c>
      <c r="B12" s="24" t="inlineStr">
        <is>
          <t>Fotoanfrage ohne Dateiinhalt</t>
        </is>
      </c>
      <c r="C12" s="24" t="inlineStr">
        <is>
          <t>niedrig</t>
        </is>
      </c>
      <c r="D12" s="24" t="inlineStr">
        <is>
          <t>sicher</t>
        </is>
      </c>
      <c r="E12" s="24" t="inlineStr">
        <is>
          <t>Ehrliche UI Variante A</t>
        </is>
      </c>
      <c r="F12" s="24" t="inlineStr">
        <is>
          <t>Zweiter Kanal nötig</t>
        </is>
      </c>
    </row>
    <row r="13" ht="40" customHeight="1">
      <c r="A13" s="21" t="inlineStr">
        <is>
          <t>R7</t>
        </is>
      </c>
      <c r="B13" s="21" t="inlineStr">
        <is>
          <t>Impressum ohne USt-IdNr falls pflichtig</t>
        </is>
      </c>
      <c r="C13" s="21" t="inlineStr">
        <is>
          <t>mittel</t>
        </is>
      </c>
      <c r="D13" s="21" t="inlineStr">
        <is>
          <t>unbekannt</t>
        </is>
      </c>
      <c r="E13" s="21" t="inlineStr">
        <is>
          <t>Nicht erfunden</t>
        </is>
      </c>
      <c r="F13" s="21" t="inlineStr">
        <is>
          <t>Steuer/Anwalt</t>
        </is>
      </c>
    </row>
    <row r="14" ht="40" customHeight="1">
      <c r="A14" s="24" t="inlineStr">
        <is>
          <t>R8</t>
        </is>
      </c>
      <c r="B14" s="24" t="inlineStr">
        <is>
          <t>LHCI testet Live, nicht PR</t>
        </is>
      </c>
      <c r="C14" s="24" t="inlineStr">
        <is>
          <t>niedrig</t>
        </is>
      </c>
      <c r="D14" s="24" t="inlineStr">
        <is>
          <t>sicher</t>
        </is>
      </c>
      <c r="E14" s="24" t="inlineStr">
        <is>
          <t>Netz nach Merge</t>
        </is>
      </c>
      <c r="F14" s="24" t="inlineStr">
        <is>
          <t>PR kann wegen alter Live rot werden</t>
        </is>
      </c>
    </row>
    <row r="15" ht="40" customHeight="1">
      <c r="A15" s="21" t="inlineStr">
        <is>
          <t>R9</t>
        </is>
      </c>
      <c r="B15" s="21" t="inlineStr">
        <is>
          <t>/abholservice Mobile CLS historisch</t>
        </is>
      </c>
      <c r="C15" s="21" t="inlineStr">
        <is>
          <t>mittel</t>
        </is>
      </c>
      <c r="D15" s="21" t="inlineStr">
        <is>
          <t>bekannt</t>
        </is>
      </c>
      <c r="E15" s="21" t="inlineStr">
        <is>
          <t>In diesem Diff nicht verschlimmert</t>
        </is>
      </c>
      <c r="F15" s="21" t="inlineStr">
        <is>
          <t>3× LH nach Deploy</t>
        </is>
      </c>
    </row>
    <row r="16" ht="40" customHeight="1">
      <c r="A16" s="24" t="inlineStr">
        <is>
          <t>R10</t>
        </is>
      </c>
      <c r="B16" s="24" t="inlineStr">
        <is>
          <t>Owner-Notify Fallback = Geschäftstelefon</t>
        </is>
      </c>
      <c r="C16" s="24" t="inlineStr">
        <is>
          <t>niedrig</t>
        </is>
      </c>
      <c r="D16" s="24" t="inlineStr">
        <is>
          <t>wenn Env fehlt</t>
        </is>
      </c>
      <c r="E16" s="24" t="inlineStr">
        <is>
          <t>nie booking.phone</t>
        </is>
      </c>
      <c r="F16" s="24" t="inlineStr">
        <is>
          <t>WA-Account an der Nummer</t>
        </is>
      </c>
    </row>
  </sheetData>
  <mergeCells count="1">
    <mergeCell ref="A1:F2"/>
  </mergeCells>
  <pageMargins left="0.75" right="0.75" top="1" bottom="1" header="0.5" footer="0.5"/>
  <pageSetup orientation="landscape" paperSize="9" fitToHeight="0" fitToWidth="1"/>
  <headerFooter>
    <oddHeader>&amp;LWHITE GLOSS · Risiken</oddHeader>
    <oddFooter>&amp;LWHITE GLOSS Produktion-Audit 31.08.2026 — keine Rechtsberatung&amp;RSeite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B8DEF"/>
    <outlinePr summaryBelow="1" summaryRight="1"/>
    <pageSetUpPr fitToPage="1"/>
  </sheetPr>
  <dimension ref="A1:G32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2" customWidth="1" min="5" max="5"/>
    <col width="16" customWidth="1" min="6" max="6"/>
    <col width="22" customWidth="1" min="7" max="7"/>
  </cols>
  <sheetData>
    <row r="1" ht="22" customHeight="1">
      <c r="A1" s="1" t="inlineStr">
        <is>
          <t>WCAG 2.2 Kontrast — Luminanz und Verhältnis per Formel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4">
      <c r="A4" t="inlineStr">
        <is>
          <t>Schwelle Normaltext AA</t>
        </is>
      </c>
      <c r="B4" s="33" t="n">
        <v>4.5</v>
      </c>
    </row>
    <row r="5">
      <c r="A5" s="34" t="inlineStr">
        <is>
          <t>sRGB: C&lt;=0,04045 → C/12,92 sonst ((C+0,055)/1,055)^2,4; L=0,2126R+0,7152G+0,0722B; Ratio=(Lhell+0,05)/(Ldunkel+0,05)</t>
        </is>
      </c>
    </row>
    <row r="7">
      <c r="A7" s="19" t="inlineStr">
        <is>
          <t>Token</t>
        </is>
      </c>
      <c r="B7" s="19" t="inlineStr">
        <is>
          <t>Hex</t>
        </is>
      </c>
      <c r="C7" s="19" t="inlineStr">
        <is>
          <t>R</t>
        </is>
      </c>
      <c r="D7" s="19" t="inlineStr">
        <is>
          <t>G</t>
        </is>
      </c>
      <c r="E7" s="19" t="inlineStr">
        <is>
          <t>B</t>
        </is>
      </c>
      <c r="F7" s="19" t="inlineStr">
        <is>
          <t>Luminanz</t>
        </is>
      </c>
      <c r="G7" s="19" t="inlineStr">
        <is>
          <t>Rolle</t>
        </is>
      </c>
    </row>
    <row r="8">
      <c r="A8" s="35" t="inlineStr">
        <is>
          <t>danger (neu)</t>
        </is>
      </c>
      <c r="B8" s="36" t="inlineStr">
        <is>
          <t>D97868</t>
        </is>
      </c>
      <c r="C8" s="37">
        <f>HEX2DEC(LEFT(B8,2))</f>
        <v/>
      </c>
      <c r="D8" s="37">
        <f>HEX2DEC(MID(B8,3,2))</f>
        <v/>
      </c>
      <c r="E8" s="37">
        <f>HEX2DEC(RIGHT(B8,2))</f>
        <v/>
      </c>
      <c r="F8" s="38">
        <f>0.2126*(IF(C8/255&lt;=0.04045,(C8/255)/12.92,((C8/255+0.055)/1.055)^2.4))+0.7152*(IF(D8/255&lt;=0.04045,(D8/255)/12.92,((D8/255+0.055)/1.055)^2.4))+0.0722*(IF(E8/255&lt;=0.04045,(E8/255)/12.92,((E8/255+0.055)/1.055)^2.4))</f>
        <v/>
      </c>
      <c r="G8" s="39" t="inlineStr">
        <is>
          <t>Vordergrund</t>
        </is>
      </c>
    </row>
    <row r="9">
      <c r="A9" s="35" t="inlineStr">
        <is>
          <t>danger (alt, Vergleich)</t>
        </is>
      </c>
      <c r="B9" s="36" t="inlineStr">
        <is>
          <t>C45C4A</t>
        </is>
      </c>
      <c r="C9" s="37">
        <f>HEX2DEC(LEFT(B9,2))</f>
        <v/>
      </c>
      <c r="D9" s="37">
        <f>HEX2DEC(MID(B9,3,2))</f>
        <v/>
      </c>
      <c r="E9" s="37">
        <f>HEX2DEC(RIGHT(B9,2))</f>
        <v/>
      </c>
      <c r="F9" s="38">
        <f>0.2126*(IF(C9/255&lt;=0.04045,(C9/255)/12.92,((C9/255+0.055)/1.055)^2.4))+0.7152*(IF(D9/255&lt;=0.04045,(D9/255)/12.92,((D9/255+0.055)/1.055)^2.4))+0.0722*(IF(E9/255&lt;=0.04045,(E9/255)/12.92,((E9/255+0.055)/1.055)^2.4))</f>
        <v/>
      </c>
      <c r="G9" s="39" t="inlineStr">
        <is>
          <t>Referenz alt</t>
        </is>
      </c>
    </row>
    <row r="10">
      <c r="A10" s="35" t="inlineStr">
        <is>
          <t>fg</t>
        </is>
      </c>
      <c r="B10" s="36" t="inlineStr">
        <is>
          <t>F4EFE6</t>
        </is>
      </c>
      <c r="C10" s="37">
        <f>HEX2DEC(LEFT(B10,2))</f>
        <v/>
      </c>
      <c r="D10" s="37">
        <f>HEX2DEC(MID(B10,3,2))</f>
        <v/>
      </c>
      <c r="E10" s="37">
        <f>HEX2DEC(RIGHT(B10,2))</f>
        <v/>
      </c>
      <c r="F10" s="38">
        <f>0.2126*(IF(C10/255&lt;=0.04045,(C10/255)/12.92,((C10/255+0.055)/1.055)^2.4))+0.7152*(IF(D10/255&lt;=0.04045,(D10/255)/12.92,((D10/255+0.055)/1.055)^2.4))+0.0722*(IF(E10/255&lt;=0.04045,(E10/255)/12.92,((E10/255+0.055)/1.055)^2.4))</f>
        <v/>
      </c>
      <c r="G10" s="39" t="inlineStr">
        <is>
          <t>Vordergrund</t>
        </is>
      </c>
    </row>
    <row r="11">
      <c r="A11" s="35" t="inlineStr">
        <is>
          <t>muted</t>
        </is>
      </c>
      <c r="B11" s="36" t="inlineStr">
        <is>
          <t>C4BDB3</t>
        </is>
      </c>
      <c r="C11" s="37">
        <f>HEX2DEC(LEFT(B11,2))</f>
        <v/>
      </c>
      <c r="D11" s="37">
        <f>HEX2DEC(MID(B11,3,2))</f>
        <v/>
      </c>
      <c r="E11" s="37">
        <f>HEX2DEC(RIGHT(B11,2))</f>
        <v/>
      </c>
      <c r="F11" s="38">
        <f>0.2126*(IF(C11/255&lt;=0.04045,(C11/255)/12.92,((C11/255+0.055)/1.055)^2.4))+0.7152*(IF(D11/255&lt;=0.04045,(D11/255)/12.92,((D11/255+0.055)/1.055)^2.4))+0.0722*(IF(E11/255&lt;=0.04045,(E11/255)/12.92,((E11/255+0.055)/1.055)^2.4))</f>
        <v/>
      </c>
      <c r="G11" s="39" t="inlineStr">
        <is>
          <t>Vordergrund</t>
        </is>
      </c>
    </row>
    <row r="12">
      <c r="A12" s="35" t="inlineStr">
        <is>
          <t>subtle</t>
        </is>
      </c>
      <c r="B12" s="36" t="inlineStr">
        <is>
          <t>9A948A</t>
        </is>
      </c>
      <c r="C12" s="37">
        <f>HEX2DEC(LEFT(B12,2))</f>
        <v/>
      </c>
      <c r="D12" s="37">
        <f>HEX2DEC(MID(B12,3,2))</f>
        <v/>
      </c>
      <c r="E12" s="37">
        <f>HEX2DEC(RIGHT(B12,2))</f>
        <v/>
      </c>
      <c r="F12" s="38">
        <f>0.2126*(IF(C12/255&lt;=0.04045,(C12/255)/12.92,((C12/255+0.055)/1.055)^2.4))+0.7152*(IF(D12/255&lt;=0.04045,(D12/255)/12.92,((D12/255+0.055)/1.055)^2.4))+0.0722*(IF(E12/255&lt;=0.04045,(E12/255)/12.92,((E12/255+0.055)/1.055)^2.4))</f>
        <v/>
      </c>
      <c r="G12" s="39" t="inlineStr">
        <is>
          <t>Vordergrund</t>
        </is>
      </c>
    </row>
    <row r="13">
      <c r="A13" s="35" t="inlineStr">
        <is>
          <t>bg</t>
        </is>
      </c>
      <c r="B13" s="36" t="inlineStr">
        <is>
          <t>0C0C0D</t>
        </is>
      </c>
      <c r="C13" s="37">
        <f>HEX2DEC(LEFT(B13,2))</f>
        <v/>
      </c>
      <c r="D13" s="37">
        <f>HEX2DEC(MID(B13,3,2))</f>
        <v/>
      </c>
      <c r="E13" s="37">
        <f>HEX2DEC(RIGHT(B13,2))</f>
        <v/>
      </c>
      <c r="F13" s="38">
        <f>0.2126*(IF(C13/255&lt;=0.04045,(C13/255)/12.92,((C13/255+0.055)/1.055)^2.4))+0.7152*(IF(D13/255&lt;=0.04045,(D13/255)/12.92,((D13/255+0.055)/1.055)^2.4))+0.0722*(IF(E13/255&lt;=0.04045,(E13/255)/12.92,((E13/255+0.055)/1.055)^2.4))</f>
        <v/>
      </c>
      <c r="G13" s="39" t="inlineStr">
        <is>
          <t>Hintergrund</t>
        </is>
      </c>
    </row>
    <row r="14">
      <c r="A14" s="35" t="inlineStr">
        <is>
          <t>surface</t>
        </is>
      </c>
      <c r="B14" s="36" t="inlineStr">
        <is>
          <t>141416</t>
        </is>
      </c>
      <c r="C14" s="37">
        <f>HEX2DEC(LEFT(B14,2))</f>
        <v/>
      </c>
      <c r="D14" s="37">
        <f>HEX2DEC(MID(B14,3,2))</f>
        <v/>
      </c>
      <c r="E14" s="37">
        <f>HEX2DEC(RIGHT(B14,2))</f>
        <v/>
      </c>
      <c r="F14" s="38">
        <f>0.2126*(IF(C14/255&lt;=0.04045,(C14/255)/12.92,((C14/255+0.055)/1.055)^2.4))+0.7152*(IF(D14/255&lt;=0.04045,(D14/255)/12.92,((D14/255+0.055)/1.055)^2.4))+0.0722*(IF(E14/255&lt;=0.04045,(E14/255)/12.92,((E14/255+0.055)/1.055)^2.4))</f>
        <v/>
      </c>
      <c r="G14" s="39" t="inlineStr">
        <is>
          <t>Hintergrund</t>
        </is>
      </c>
    </row>
    <row r="15">
      <c r="A15" s="35" t="inlineStr">
        <is>
          <t>elevated</t>
        </is>
      </c>
      <c r="B15" s="36" t="inlineStr">
        <is>
          <t>1C1C20</t>
        </is>
      </c>
      <c r="C15" s="37">
        <f>HEX2DEC(LEFT(B15,2))</f>
        <v/>
      </c>
      <c r="D15" s="37">
        <f>HEX2DEC(MID(B15,3,2))</f>
        <v/>
      </c>
      <c r="E15" s="37">
        <f>HEX2DEC(RIGHT(B15,2))</f>
        <v/>
      </c>
      <c r="F15" s="38">
        <f>0.2126*(IF(C15/255&lt;=0.04045,(C15/255)/12.92,((C15/255+0.055)/1.055)^2.4))+0.7152*(IF(D15/255&lt;=0.04045,(D15/255)/12.92,((D15/255+0.055)/1.055)^2.4))+0.0722*(IF(E15/255&lt;=0.04045,(E15/255)/12.92,((E15/255+0.055)/1.055)^2.4))</f>
        <v/>
      </c>
      <c r="G15" s="39" t="inlineStr">
        <is>
          <t>Hintergrund</t>
        </is>
      </c>
    </row>
    <row r="18">
      <c r="A18" s="19" t="inlineStr">
        <is>
          <t>Vordergrund</t>
        </is>
      </c>
      <c r="B18" s="19" t="inlineStr">
        <is>
          <t>Hex FG</t>
        </is>
      </c>
      <c r="C18" s="19" t="inlineStr">
        <is>
          <t>Hintergrund</t>
        </is>
      </c>
      <c r="D18" s="19" t="inlineStr">
        <is>
          <t>Hex BG</t>
        </is>
      </c>
      <c r="E18" s="19" t="inlineStr">
        <is>
          <t>Kontrast</t>
        </is>
      </c>
      <c r="F18" s="19" t="inlineStr">
        <is>
          <t>AA ≥ Schwelle</t>
        </is>
      </c>
      <c r="G18" s="19" t="inlineStr">
        <is>
          <t>Alt-Kontrast</t>
        </is>
      </c>
    </row>
    <row r="19">
      <c r="A19" s="40" t="inlineStr">
        <is>
          <t>danger neu</t>
        </is>
      </c>
      <c r="B19" s="41">
        <f>B8</f>
        <v/>
      </c>
      <c r="C19" s="40" t="inlineStr">
        <is>
          <t>bg</t>
        </is>
      </c>
      <c r="D19" s="41">
        <f>B13</f>
        <v/>
      </c>
      <c r="E19" s="42">
        <f>(MAX(F8,F13)+0.05)/(MIN(F8,F13)+0.05)</f>
        <v/>
      </c>
      <c r="F19" s="37">
        <f>IF(E19&gt;=$B$4,"PASS","FAIL")</f>
        <v/>
      </c>
      <c r="G19" s="42">
        <f>(MAX(F9,F13)+0.05)/(MIN(F9,F13)+0.05)</f>
        <v/>
      </c>
    </row>
    <row r="20">
      <c r="A20" s="40" t="inlineStr">
        <is>
          <t>danger neu</t>
        </is>
      </c>
      <c r="B20" s="41">
        <f>B8</f>
        <v/>
      </c>
      <c r="C20" s="40" t="inlineStr">
        <is>
          <t>surface</t>
        </is>
      </c>
      <c r="D20" s="41">
        <f>B14</f>
        <v/>
      </c>
      <c r="E20" s="42">
        <f>(MAX(F8,F14)+0.05)/(MIN(F8,F14)+0.05)</f>
        <v/>
      </c>
      <c r="F20" s="37">
        <f>IF(E20&gt;=$B$4,"PASS","FAIL")</f>
        <v/>
      </c>
      <c r="G20" s="42">
        <f>(MAX(F9,F14)+0.05)/(MIN(F9,F14)+0.05)</f>
        <v/>
      </c>
    </row>
    <row r="21">
      <c r="A21" s="40" t="inlineStr">
        <is>
          <t>danger neu</t>
        </is>
      </c>
      <c r="B21" s="41">
        <f>B8</f>
        <v/>
      </c>
      <c r="C21" s="40" t="inlineStr">
        <is>
          <t>elevated</t>
        </is>
      </c>
      <c r="D21" s="41">
        <f>B15</f>
        <v/>
      </c>
      <c r="E21" s="42">
        <f>(MAX(F8,F15)+0.05)/(MIN(F8,F15)+0.05)</f>
        <v/>
      </c>
      <c r="F21" s="37">
        <f>IF(E21&gt;=$B$4,"PASS","FAIL")</f>
        <v/>
      </c>
      <c r="G21" s="42">
        <f>(MAX(F9,F15)+0.05)/(MIN(F9,F15)+0.05)</f>
        <v/>
      </c>
    </row>
    <row r="22">
      <c r="A22" s="40" t="inlineStr">
        <is>
          <t>fg</t>
        </is>
      </c>
      <c r="B22" s="41">
        <f>B10</f>
        <v/>
      </c>
      <c r="C22" s="40" t="inlineStr">
        <is>
          <t>bg</t>
        </is>
      </c>
      <c r="D22" s="41">
        <f>B13</f>
        <v/>
      </c>
      <c r="E22" s="42">
        <f>(MAX(F10,F13)+0.05)/(MIN(F10,F13)+0.05)</f>
        <v/>
      </c>
      <c r="F22" s="37">
        <f>IF(E22&gt;=$B$4,"PASS","FAIL")</f>
        <v/>
      </c>
      <c r="G22" s="40" t="inlineStr">
        <is>
          <t>—</t>
        </is>
      </c>
    </row>
    <row r="23">
      <c r="A23" s="40" t="inlineStr">
        <is>
          <t>muted</t>
        </is>
      </c>
      <c r="B23" s="41">
        <f>B11</f>
        <v/>
      </c>
      <c r="C23" s="40" t="inlineStr">
        <is>
          <t>bg</t>
        </is>
      </c>
      <c r="D23" s="41">
        <f>B13</f>
        <v/>
      </c>
      <c r="E23" s="42">
        <f>(MAX(F11,F13)+0.05)/(MIN(F11,F13)+0.05)</f>
        <v/>
      </c>
      <c r="F23" s="37">
        <f>IF(E23&gt;=$B$4,"PASS","FAIL")</f>
        <v/>
      </c>
      <c r="G23" s="40" t="inlineStr">
        <is>
          <t>—</t>
        </is>
      </c>
    </row>
    <row r="24">
      <c r="A24" s="40" t="inlineStr">
        <is>
          <t>subtle</t>
        </is>
      </c>
      <c r="B24" s="41">
        <f>B12</f>
        <v/>
      </c>
      <c r="C24" s="40" t="inlineStr">
        <is>
          <t>bg</t>
        </is>
      </c>
      <c r="D24" s="41">
        <f>B13</f>
        <v/>
      </c>
      <c r="E24" s="42">
        <f>(MAX(F12,F13)+0.05)/(MIN(F12,F13)+0.05)</f>
        <v/>
      </c>
      <c r="F24" s="37">
        <f>IF(E24&gt;=$B$4,"PASS","FAIL")</f>
        <v/>
      </c>
      <c r="G24" s="40" t="inlineStr">
        <is>
          <t>—</t>
        </is>
      </c>
    </row>
    <row r="25">
      <c r="A25" s="40" t="inlineStr">
        <is>
          <t>muted</t>
        </is>
      </c>
      <c r="B25" s="41">
        <f>B11</f>
        <v/>
      </c>
      <c r="C25" s="40" t="inlineStr">
        <is>
          <t>surface</t>
        </is>
      </c>
      <c r="D25" s="41">
        <f>B14</f>
        <v/>
      </c>
      <c r="E25" s="42">
        <f>(MAX(F11,F14)+0.05)/(MIN(F11,F14)+0.05)</f>
        <v/>
      </c>
      <c r="F25" s="37">
        <f>IF(E25&gt;=$B$4,"PASS","FAIL")</f>
        <v/>
      </c>
      <c r="G25" s="40" t="inlineStr">
        <is>
          <t>—</t>
        </is>
      </c>
    </row>
    <row r="26">
      <c r="A26" s="40" t="inlineStr">
        <is>
          <t>subtle</t>
        </is>
      </c>
      <c r="B26" s="41">
        <f>B12</f>
        <v/>
      </c>
      <c r="C26" s="40" t="inlineStr">
        <is>
          <t>surface</t>
        </is>
      </c>
      <c r="D26" s="41">
        <f>B14</f>
        <v/>
      </c>
      <c r="E26" s="42">
        <f>(MAX(F12,F14)+0.05)/(MIN(F12,F14)+0.05)</f>
        <v/>
      </c>
      <c r="F26" s="37">
        <f>IF(E26&gt;=$B$4,"PASS","FAIL")</f>
        <v/>
      </c>
      <c r="G26" s="40" t="inlineStr">
        <is>
          <t>—</t>
        </is>
      </c>
    </row>
    <row r="27">
      <c r="A27" s="40" t="inlineStr">
        <is>
          <t>muted</t>
        </is>
      </c>
      <c r="B27" s="41">
        <f>B11</f>
        <v/>
      </c>
      <c r="C27" s="40" t="inlineStr">
        <is>
          <t>elevated</t>
        </is>
      </c>
      <c r="D27" s="41">
        <f>B15</f>
        <v/>
      </c>
      <c r="E27" s="42">
        <f>(MAX(F11,F15)+0.05)/(MIN(F11,F15)+0.05)</f>
        <v/>
      </c>
      <c r="F27" s="37">
        <f>IF(E27&gt;=$B$4,"PASS","FAIL")</f>
        <v/>
      </c>
      <c r="G27" s="40" t="inlineStr">
        <is>
          <t>—</t>
        </is>
      </c>
    </row>
    <row r="28">
      <c r="A28" s="40" t="inlineStr">
        <is>
          <t>subtle</t>
        </is>
      </c>
      <c r="B28" s="41">
        <f>B12</f>
        <v/>
      </c>
      <c r="C28" s="40" t="inlineStr">
        <is>
          <t>elevated</t>
        </is>
      </c>
      <c r="D28" s="41">
        <f>B15</f>
        <v/>
      </c>
      <c r="E28" s="42">
        <f>(MAX(F12,F15)+0.05)/(MIN(F12,F15)+0.05)</f>
        <v/>
      </c>
      <c r="F28" s="37">
        <f>IF(E28&gt;=$B$4,"PASS","FAIL")</f>
        <v/>
      </c>
      <c r="G28" s="40" t="inlineStr">
        <is>
          <t>—</t>
        </is>
      </c>
    </row>
    <row r="30">
      <c r="A30" s="5" t="inlineStr">
        <is>
          <t>Paare bestanden</t>
        </is>
      </c>
      <c r="B30" s="9">
        <f>COUNTIF(F19:F28,"PASS")</f>
        <v/>
      </c>
    </row>
    <row r="31">
      <c r="A31" s="5" t="inlineStr">
        <is>
          <t>Paare gesamt</t>
        </is>
      </c>
      <c r="B31" s="9">
        <f>COUNTA(F19:F28)</f>
        <v/>
      </c>
    </row>
    <row r="32">
      <c r="A32" s="5" t="inlineStr">
        <is>
          <t>Quote AA</t>
        </is>
      </c>
      <c r="B32" s="15">
        <f>IF(B31=0,0,B30/B31)</f>
        <v/>
      </c>
    </row>
  </sheetData>
  <mergeCells count="2">
    <mergeCell ref="A5:G5"/>
    <mergeCell ref="A1:F2"/>
  </mergeCells>
  <conditionalFormatting sqref="F19:F28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  <pageSetup orientation="landscape" paperSize="9" fitToHeight="0" fitToWidth="1"/>
  <headerFooter>
    <oddHeader>&amp;LWHITE GLOSS · Kontrast</oddHeader>
    <oddFooter>&amp;LWHITE GLOSS Produktion-Audit 31.08.2026 — keine Rechtsberatung&amp;RSeite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6B7280"/>
    <outlinePr summaryBelow="1" summaryRight="1"/>
    <pageSetUpPr fitToPage="1"/>
  </sheetPr>
  <dimension ref="A1:F4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36" customWidth="1" min="3" max="3"/>
    <col width="14" customWidth="1" min="4" max="4"/>
  </cols>
  <sheetData>
    <row r="1" ht="22" customHeight="1">
      <c r="A1" s="1" t="inlineStr">
        <is>
          <t>Commit c3f2475 — 33 Dateien, ohne .env</t>
        </is>
      </c>
      <c r="B1" s="2" t="n"/>
      <c r="C1" s="2" t="n"/>
      <c r="D1" s="2" t="n"/>
      <c r="E1" s="2" t="n"/>
      <c r="F1" s="2" t="n"/>
    </row>
    <row r="2" ht="18" customHeight="1">
      <c r="A2" s="2" t="n"/>
      <c r="B2" s="2" t="n"/>
      <c r="C2" s="2" t="n"/>
      <c r="D2" s="2" t="n"/>
      <c r="E2" s="2" t="n"/>
      <c r="F2" s="2" t="n"/>
    </row>
    <row r="6">
      <c r="A6" s="19" t="inlineStr">
        <is>
          <t>Pfad</t>
        </is>
      </c>
      <c r="B6" s="19" t="inlineStr">
        <is>
          <t>Art</t>
        </is>
      </c>
      <c r="C6" s="19" t="inlineStr">
        <is>
          <t>Rolle im Audit</t>
        </is>
      </c>
      <c r="D6" s="19" t="inlineStr">
        <is>
          <t>Im Commit</t>
        </is>
      </c>
    </row>
    <row r="7">
      <c r="A7" s="43" t="inlineStr">
        <is>
          <t>.github/workflows/lighthouse-audit.yml</t>
        </is>
      </c>
      <c r="B7" s="43" t="inlineStr">
        <is>
          <t>CI</t>
        </is>
      </c>
      <c r="C7" s="43" t="inlineStr">
        <is>
          <t>PR+main, Artefakt pin</t>
        </is>
      </c>
      <c r="D7" s="44" t="inlineStr">
        <is>
          <t>ja</t>
        </is>
      </c>
    </row>
    <row r="8">
      <c r="A8" s="43" t="inlineStr">
        <is>
          <t>lighthouserc.desktop.cjs</t>
        </is>
      </c>
      <c r="B8" s="43" t="inlineStr">
        <is>
          <t>CI</t>
        </is>
      </c>
      <c r="C8" s="43" t="inlineStr">
        <is>
          <t>A11y-Gate 0,95</t>
        </is>
      </c>
      <c r="D8" s="44" t="inlineStr">
        <is>
          <t>ja</t>
        </is>
      </c>
    </row>
    <row r="9">
      <c r="A9" s="43" t="inlineStr">
        <is>
          <t>lighthouserc.mobile.cjs</t>
        </is>
      </c>
      <c r="B9" s="43" t="inlineStr">
        <is>
          <t>CI</t>
        </is>
      </c>
      <c r="C9" s="43" t="inlineStr">
        <is>
          <t>A11y-Gate 0,95</t>
        </is>
      </c>
      <c r="D9" s="44" t="inlineStr">
        <is>
          <t>ja</t>
        </is>
      </c>
    </row>
    <row r="10">
      <c r="A10" s="43" t="inlineStr">
        <is>
          <t>package.json</t>
        </is>
      </c>
      <c r="B10" s="43" t="inlineStr">
        <is>
          <t>Build</t>
        </is>
      </c>
      <c r="C10" s="43" t="inlineStr">
        <is>
          <t>test-Script</t>
        </is>
      </c>
      <c r="D10" s="44" t="inlineStr">
        <is>
          <t>ja</t>
        </is>
      </c>
    </row>
    <row r="11">
      <c r="A11" s="43" t="inlineStr">
        <is>
          <t>scripts/smoke-production.mjs</t>
        </is>
      </c>
      <c r="B11" s="43" t="inlineStr">
        <is>
          <t>QA</t>
        </is>
      </c>
      <c r="C11" s="43" t="inlineStr">
        <is>
          <t>erweiterter Smoke</t>
        </is>
      </c>
      <c r="D11" s="44" t="inlineStr">
        <is>
          <t>ja</t>
        </is>
      </c>
    </row>
    <row r="12">
      <c r="A12" s="43" t="inlineStr">
        <is>
          <t>src/components/city-landing.tsx</t>
        </is>
      </c>
      <c r="B12" s="43" t="inlineStr">
        <is>
          <t>UI</t>
        </is>
      </c>
      <c r="C12" s="43" t="inlineStr">
        <is>
          <t>pickup Helper</t>
        </is>
      </c>
      <c r="D12" s="44" t="inlineStr">
        <is>
          <t>ja</t>
        </is>
      </c>
    </row>
    <row r="13">
      <c r="A13" s="43" t="inlineStr">
        <is>
          <t>src/components/configurator.tsx</t>
        </is>
      </c>
      <c r="B13" s="43" t="inlineStr">
        <is>
          <t>UI</t>
        </is>
      </c>
      <c r="C13" s="43" t="inlineStr">
        <is>
          <t>Honeypot, pickupPriceText</t>
        </is>
      </c>
      <c r="D13" s="44" t="inlineStr">
        <is>
          <t>ja</t>
        </is>
      </c>
    </row>
    <row r="14">
      <c r="A14" s="43" t="inlineStr">
        <is>
          <t>src/components/photo-inquiry.tsx</t>
        </is>
      </c>
      <c r="B14" s="43" t="inlineStr">
        <is>
          <t>UI</t>
        </is>
      </c>
      <c r="C14" s="43" t="inlineStr">
        <is>
          <t>Variante A</t>
        </is>
      </c>
      <c r="D14" s="44" t="inlineStr">
        <is>
          <t>ja</t>
        </is>
      </c>
    </row>
    <row r="15">
      <c r="A15" s="43" t="inlineStr">
        <is>
          <t>src/components/site-chrome.tsx</t>
        </is>
      </c>
      <c r="B15" s="43" t="inlineStr">
        <is>
          <t>UI</t>
        </is>
      </c>
      <c r="C15" s="43" t="inlineStr">
        <is>
          <t>CookieNotice weg</t>
        </is>
      </c>
      <c r="D15" s="44" t="inlineStr">
        <is>
          <t>ja</t>
        </is>
      </c>
    </row>
    <row r="16">
      <c r="A16" s="43" t="inlineStr">
        <is>
          <t>src/components/workshop-map.tsx</t>
        </is>
      </c>
      <c r="B16" s="43" t="inlineStr">
        <is>
          <t>UI</t>
        </is>
      </c>
      <c r="C16" s="43" t="inlineStr">
        <is>
          <t>Maps-Button</t>
        </is>
      </c>
      <c r="D16" s="44" t="inlineStr">
        <is>
          <t>ja</t>
        </is>
      </c>
    </row>
    <row r="17">
      <c r="A17" s="43" t="inlineStr">
        <is>
          <t>src/data/pickup.test.ts</t>
        </is>
      </c>
      <c r="B17" s="43" t="inlineStr">
        <is>
          <t>Test</t>
        </is>
      </c>
      <c r="C17" s="43" t="inlineStr">
        <is>
          <t>Staffel-Quelle</t>
        </is>
      </c>
      <c r="D17" s="44" t="inlineStr">
        <is>
          <t>ja</t>
        </is>
      </c>
    </row>
    <row r="18">
      <c r="A18" s="43" t="inlineStr">
        <is>
          <t>src/data/ratgeber.ts</t>
        </is>
      </c>
      <c r="B18" s="43" t="inlineStr">
        <is>
          <t>Content</t>
        </is>
      </c>
      <c r="C18" s="43" t="inlineStr">
        <is>
          <t>Staffel+Extras</t>
        </is>
      </c>
      <c r="D18" s="44" t="inlineStr">
        <is>
          <t>ja</t>
        </is>
      </c>
    </row>
    <row r="19">
      <c r="A19" s="43" t="inlineStr">
        <is>
          <t>src/data/site.ts</t>
        </is>
      </c>
      <c r="B19" s="43" t="inlineStr">
        <is>
          <t>Daten</t>
        </is>
      </c>
      <c r="C19" s="43" t="inlineStr">
        <is>
          <t>pickupPricing</t>
        </is>
      </c>
      <c r="D19" s="44" t="inlineStr">
        <is>
          <t>ja</t>
        </is>
      </c>
    </row>
    <row r="20">
      <c r="A20" s="43" t="inlineStr">
        <is>
          <t>src/lib/admin.functions.ts</t>
        </is>
      </c>
      <c r="B20" s="43" t="inlineStr">
        <is>
          <t>Backend</t>
        </is>
      </c>
      <c r="C20" s="43" t="inlineStr">
        <is>
          <t>queued, PIN, Auth</t>
        </is>
      </c>
      <c r="D20" s="44" t="inlineStr">
        <is>
          <t>ja</t>
        </is>
      </c>
    </row>
    <row r="21">
      <c r="A21" s="43" t="inlineStr">
        <is>
          <t>src/lib/bookings.functions.ts</t>
        </is>
      </c>
      <c r="B21" s="43" t="inlineStr">
        <is>
          <t>Backend</t>
        </is>
      </c>
      <c r="C21" s="43" t="inlineStr">
        <is>
          <t>Limit, Preise, Mail</t>
        </is>
      </c>
      <c r="D21" s="44" t="inlineStr">
        <is>
          <t>ja</t>
        </is>
      </c>
    </row>
    <row r="22">
      <c r="A22" s="43" t="inlineStr">
        <is>
          <t>src/lib/contrast.ts</t>
        </is>
      </c>
      <c r="B22" s="43" t="inlineStr">
        <is>
          <t>A11y</t>
        </is>
      </c>
      <c r="C22" s="43" t="inlineStr">
        <is>
          <t>Luminanz</t>
        </is>
      </c>
      <c r="D22" s="44" t="inlineStr">
        <is>
          <t>ja</t>
        </is>
      </c>
    </row>
    <row r="23">
      <c r="A23" s="43" t="inlineStr">
        <is>
          <t>src/lib/contrast.test.ts</t>
        </is>
      </c>
      <c r="B23" s="43" t="inlineStr">
        <is>
          <t>Test</t>
        </is>
      </c>
      <c r="C23" s="43" t="inlineStr">
        <is>
          <t>Token ≥ 4,5:1</t>
        </is>
      </c>
      <c r="D23" s="44" t="inlineStr">
        <is>
          <t>ja</t>
        </is>
      </c>
    </row>
    <row r="24">
      <c r="A24" s="43" t="inlineStr">
        <is>
          <t>src/lib/ops.ts</t>
        </is>
      </c>
      <c r="B24" s="43" t="inlineStr">
        <is>
          <t>Backend</t>
        </is>
      </c>
      <c r="C24" s="43" t="inlineStr">
        <is>
          <t>Owner ≠ Kunde</t>
        </is>
      </c>
      <c r="D24" s="44" t="inlineStr">
        <is>
          <t>ja</t>
        </is>
      </c>
    </row>
    <row r="25">
      <c r="A25" s="43" t="inlineStr">
        <is>
          <t>src/lib/ops.test.ts</t>
        </is>
      </c>
      <c r="B25" s="43" t="inlineStr">
        <is>
          <t>Test</t>
        </is>
      </c>
      <c r="C25" s="43" t="inlineStr">
        <is>
          <t>Empfänger</t>
        </is>
      </c>
      <c r="D25" s="44" t="inlineStr">
        <is>
          <t>ja</t>
        </is>
      </c>
    </row>
    <row r="26">
      <c r="A26" s="43" t="inlineStr">
        <is>
          <t>src/lib/rate-limit.ts</t>
        </is>
      </c>
      <c r="B26" s="43" t="inlineStr">
        <is>
          <t>Backend</t>
        </is>
      </c>
      <c r="C26" s="43" t="inlineStr">
        <is>
          <t>IP-Limiter</t>
        </is>
      </c>
      <c r="D26" s="44" t="inlineStr">
        <is>
          <t>ja</t>
        </is>
      </c>
    </row>
    <row r="27">
      <c r="A27" s="43" t="inlineStr">
        <is>
          <t>src/lib/rate-limit.test.ts</t>
        </is>
      </c>
      <c r="B27" s="43" t="inlineStr">
        <is>
          <t>Test</t>
        </is>
      </c>
      <c r="C27" s="43" t="inlineStr">
        <is>
          <t>Burst</t>
        </is>
      </c>
      <c r="D27" s="44" t="inlineStr">
        <is>
          <t>ja</t>
        </is>
      </c>
    </row>
    <row r="28">
      <c r="A28" s="43" t="inlineStr">
        <is>
          <t>src/lib/utils.ts</t>
        </is>
      </c>
      <c r="B28" s="43" t="inlineStr">
        <is>
          <t>Lib</t>
        </is>
      </c>
      <c r="C28" s="43" t="inlineStr">
        <is>
          <t>isEmailAddress</t>
        </is>
      </c>
      <c r="D28" s="44" t="inlineStr">
        <is>
          <t>ja</t>
        </is>
      </c>
    </row>
    <row r="29">
      <c r="A29" s="43" t="inlineStr">
        <is>
          <t>src/routes/abholservice.index.tsx</t>
        </is>
      </c>
      <c r="B29" s="43" t="inlineStr">
        <is>
          <t>Seite</t>
        </is>
      </c>
      <c r="C29" s="43" t="inlineStr">
        <is>
          <t>Staffel</t>
        </is>
      </c>
      <c r="D29" s="44" t="inlineStr">
        <is>
          <t>ja</t>
        </is>
      </c>
    </row>
    <row r="30">
      <c r="A30" s="43" t="inlineStr">
        <is>
          <t>src/routes/agb.tsx</t>
        </is>
      </c>
      <c r="B30" s="43" t="inlineStr">
        <is>
          <t>Seite</t>
        </is>
      </c>
      <c r="C30" s="43" t="inlineStr">
        <is>
          <t>Staffel</t>
        </is>
      </c>
      <c r="D30" s="44" t="inlineStr">
        <is>
          <t>ja</t>
        </is>
      </c>
    </row>
    <row r="31">
      <c r="A31" s="43" t="inlineStr">
        <is>
          <t>src/routes/api.operator.ts</t>
        </is>
      </c>
      <c r="B31" s="43" t="inlineStr">
        <is>
          <t>API</t>
        </is>
      </c>
      <c r="C31" s="43" t="inlineStr">
        <is>
          <t>Rate-limit</t>
        </is>
      </c>
      <c r="D31" s="44" t="inlineStr">
        <is>
          <t>ja</t>
        </is>
      </c>
    </row>
    <row r="32">
      <c r="A32" s="43" t="inlineStr">
        <is>
          <t>src/routes/datenschutz.tsx</t>
        </is>
      </c>
      <c r="B32" s="43" t="inlineStr">
        <is>
          <t>Recht</t>
        </is>
      </c>
      <c r="C32" s="43" t="inlineStr">
        <is>
          <t>Code-Treue</t>
        </is>
      </c>
      <c r="D32" s="44" t="inlineStr">
        <is>
          <t>ja</t>
        </is>
      </c>
    </row>
    <row r="33">
      <c r="A33" s="43" t="inlineStr">
        <is>
          <t>src/routes/dellen-hagelschaden.tsx</t>
        </is>
      </c>
      <c r="B33" s="43" t="inlineStr">
        <is>
          <t>Seite</t>
        </is>
      </c>
      <c r="C33" s="43" t="inlineStr">
        <is>
          <t>ehrlicher Hinweis</t>
        </is>
      </c>
      <c r="D33" s="44" t="inlineStr">
        <is>
          <t>ja</t>
        </is>
      </c>
    </row>
    <row r="34">
      <c r="A34" s="43" t="inlineStr">
        <is>
          <t>src/routes/fahrzeug-zustand.tsx</t>
        </is>
      </c>
      <c r="B34" s="43" t="inlineStr">
        <is>
          <t>Seite</t>
        </is>
      </c>
      <c r="C34" s="43" t="inlineStr">
        <is>
          <t>ehrlicher Hinweis</t>
        </is>
      </c>
      <c r="D34" s="44" t="inlineStr">
        <is>
          <t>ja</t>
        </is>
      </c>
    </row>
    <row r="35">
      <c r="A35" s="43" t="inlineStr">
        <is>
          <t>src/routes/impressum.tsx</t>
        </is>
      </c>
      <c r="B35" s="43" t="inlineStr">
        <is>
          <t>Recht</t>
        </is>
      </c>
      <c r="C35" s="43" t="inlineStr">
        <is>
          <t>ODR weg</t>
        </is>
      </c>
      <c r="D35" s="44" t="inlineStr">
        <is>
          <t>ja</t>
        </is>
      </c>
    </row>
    <row r="36">
      <c r="A36" s="43" t="inlineStr">
        <is>
          <t>src/routes/index.tsx</t>
        </is>
      </c>
      <c r="B36" s="43" t="inlineStr">
        <is>
          <t>Seite</t>
        </is>
      </c>
      <c r="C36" s="43" t="inlineStr">
        <is>
          <t>Staffel</t>
        </is>
      </c>
      <c r="D36" s="44" t="inlineStr">
        <is>
          <t>ja</t>
        </is>
      </c>
    </row>
    <row r="37">
      <c r="A37" s="43" t="inlineStr">
        <is>
          <t>src/routes/leistungen.$slug.$city.tsx</t>
        </is>
      </c>
      <c r="B37" s="43" t="inlineStr">
        <is>
          <t>SEO</t>
        </is>
      </c>
      <c r="C37" s="43" t="inlineStr">
        <is>
          <t>pickupPriceText</t>
        </is>
      </c>
      <c r="D37" s="44" t="inlineStr">
        <is>
          <t>ja</t>
        </is>
      </c>
    </row>
    <row r="38">
      <c r="A38" s="43" t="inlineStr">
        <is>
          <t>src/routes/preise.tsx</t>
        </is>
      </c>
      <c r="B38" s="43" t="inlineStr">
        <is>
          <t>Seite</t>
        </is>
      </c>
      <c r="C38" s="43" t="inlineStr">
        <is>
          <t>Staffel</t>
        </is>
      </c>
      <c r="D38" s="44" t="inlineStr">
        <is>
          <t>ja</t>
        </is>
      </c>
    </row>
    <row r="39">
      <c r="A39" s="43" t="inlineStr">
        <is>
          <t>src/styles.css</t>
        </is>
      </c>
      <c r="B39" s="43" t="inlineStr">
        <is>
          <t>CSS</t>
        </is>
      </c>
      <c r="C39" s="43" t="inlineStr">
        <is>
          <t>danger #d97868</t>
        </is>
      </c>
      <c r="D39" s="44" t="inlineStr">
        <is>
          <t>ja</t>
        </is>
      </c>
    </row>
    <row r="40">
      <c r="A40" s="43" t="inlineStr">
        <is>
          <t>.env</t>
        </is>
      </c>
      <c r="B40" s="43" t="inlineStr">
        <is>
          <t>Secret</t>
        </is>
      </c>
      <c r="C40" s="43" t="inlineStr">
        <is>
          <t>NICHT im Commit</t>
        </is>
      </c>
      <c r="D40" s="45" t="inlineStr">
        <is>
          <t>nein</t>
        </is>
      </c>
    </row>
    <row r="42">
      <c r="A42" s="5" t="inlineStr">
        <is>
          <t>Dateien im Commit</t>
        </is>
      </c>
      <c r="B42" s="9">
        <f>COUNTIF(D7:D40,"ja")</f>
        <v/>
      </c>
    </row>
    <row r="43">
      <c r="A43" s="5" t="inlineStr">
        <is>
          <t>Ausgeschlossen</t>
        </is>
      </c>
      <c r="B43" s="9">
        <f>COUNTIF(D7:D40,"nein")</f>
        <v/>
      </c>
    </row>
  </sheetData>
  <mergeCells count="1">
    <mergeCell ref="A1:F2"/>
  </mergeCells>
  <pageMargins left="0.75" right="0.75" top="1" bottom="1" header="0.5" footer="0.5"/>
  <pageSetup orientation="landscape" paperSize="9" fitToHeight="0" fitToWidth="1"/>
  <headerFooter>
    <oddHeader>&amp;LWHITE GLOSS · Dateien</oddHeader>
    <oddFooter>&amp;LWHITE GLOSS Produktion-Audit 31.08.2026 — keine Rechtsberatung&amp;RSeite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2026-08-31T20:54:51Z</dcterms:created>
  <dcterms:modified xsi:type="dcterms:W3CDTF">2026-08-31T20:54:51Z</dcterms:modified>
</cp:coreProperties>
</file>